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devka\OneDrive\Desktop\EXCEL PIVOT TABLE\"/>
    </mc:Choice>
  </mc:AlternateContent>
  <xr:revisionPtr revIDLastSave="0" documentId="8_{18239E66-03A6-4081-BB49-CBBEED97CBC8}" xr6:coauthVersionLast="47" xr6:coauthVersionMax="47" xr10:uidLastSave="{00000000-0000-0000-0000-000000000000}"/>
  <bookViews>
    <workbookView xWindow="-108" yWindow="-108" windowWidth="23256" windowHeight="12456" activeTab="1" xr2:uid="{DAA4487C-5EF9-44E6-B39F-E5B6149EB2D6}"/>
  </bookViews>
  <sheets>
    <sheet name="CHANNEL" sheetId="2" r:id="rId1"/>
    <sheet name="DASHBOARD" sheetId="3" r:id="rId2"/>
    <sheet name="Sheet12" sheetId="12" r:id="rId3"/>
    <sheet name="Sheet11" sheetId="11" r:id="rId4"/>
    <sheet name="AGE AND GENDER" sheetId="6" r:id="rId5"/>
    <sheet name="TOP 5 STATE" sheetId="4" r:id="rId6"/>
    <sheet name="GENDER" sheetId="5" r:id="rId7"/>
    <sheet name="ORDER STATUS" sheetId="7" r:id="rId8"/>
    <sheet name="Sheet9" sheetId="9" r:id="rId9"/>
    <sheet name="DATA" sheetId="1" r:id="rId10"/>
  </sheets>
  <definedNames>
    <definedName name="Slicer_Sr_No">#N/A</definedName>
  </definedNames>
  <calcPr calcId="191029"/>
  <pivotCaches>
    <pivotCache cacheId="6" r:id="rId11"/>
    <pivotCache cacheId="7"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<sst xmlns="http://schemas.openxmlformats.org/spreadsheetml/2006/main" count="394" uniqueCount="169">
  <si>
    <t>Sr No</t>
  </si>
  <si>
    <t>Order ID</t>
  </si>
  <si>
    <t>Cust ID</t>
  </si>
  <si>
    <t>Cust Name</t>
  </si>
  <si>
    <t>Gender</t>
  </si>
  <si>
    <t>Age</t>
  </si>
  <si>
    <t>Age Group</t>
  </si>
  <si>
    <t>Date</t>
  </si>
  <si>
    <t>Month</t>
  </si>
  <si>
    <t>Status</t>
  </si>
  <si>
    <t>Channel</t>
  </si>
  <si>
    <t>Category</t>
  </si>
  <si>
    <t>Qty</t>
  </si>
  <si>
    <t>Amount</t>
  </si>
  <si>
    <t>Ship Date</t>
  </si>
  <si>
    <t>Ship Postal Code</t>
  </si>
  <si>
    <t>ORD1001</t>
  </si>
  <si>
    <t>C101</t>
  </si>
  <si>
    <t>Rahul Patil</t>
  </si>
  <si>
    <t>Male</t>
  </si>
  <si>
    <t>Adult</t>
  </si>
  <si>
    <t>Jun</t>
  </si>
  <si>
    <t>Delivered</t>
  </si>
  <si>
    <t>Amazon</t>
  </si>
  <si>
    <t>Electronics</t>
  </si>
  <si>
    <t>ORD1002</t>
  </si>
  <si>
    <t>C102</t>
  </si>
  <si>
    <t>Sneha Joshi</t>
  </si>
  <si>
    <t>Female</t>
  </si>
  <si>
    <t>Flipkart</t>
  </si>
  <si>
    <t>Fashion</t>
  </si>
  <si>
    <t>ORD1003</t>
  </si>
  <si>
    <t>C103</t>
  </si>
  <si>
    <t>Amit Shah</t>
  </si>
  <si>
    <t>Cancelled</t>
  </si>
  <si>
    <t>Website</t>
  </si>
  <si>
    <t>Home Decor</t>
  </si>
  <si>
    <t>ORD1004</t>
  </si>
  <si>
    <t>C104</t>
  </si>
  <si>
    <t>Priya Deshmukh</t>
  </si>
  <si>
    <t>Young Adult</t>
  </si>
  <si>
    <t>Beauty</t>
  </si>
  <si>
    <t>ORD1005</t>
  </si>
  <si>
    <t>C105</t>
  </si>
  <si>
    <t>Rohit Kulkarni</t>
  </si>
  <si>
    <t>Shipped</t>
  </si>
  <si>
    <t>ORD1006</t>
  </si>
  <si>
    <t>C106</t>
  </si>
  <si>
    <t>Pooja Singh</t>
  </si>
  <si>
    <t>Grocery</t>
  </si>
  <si>
    <t>ORD1007</t>
  </si>
  <si>
    <t>C107</t>
  </si>
  <si>
    <t>Akash More</t>
  </si>
  <si>
    <t>Returned</t>
  </si>
  <si>
    <t>ORD1008</t>
  </si>
  <si>
    <t>C108</t>
  </si>
  <si>
    <t>Neha Verma</t>
  </si>
  <si>
    <t>Myntra</t>
  </si>
  <si>
    <t>ORD1009</t>
  </si>
  <si>
    <t>C109</t>
  </si>
  <si>
    <t>Karan Gupta</t>
  </si>
  <si>
    <t>Senior</t>
  </si>
  <si>
    <t>ORD1010</t>
  </si>
  <si>
    <t>C110</t>
  </si>
  <si>
    <t>Anjali Pawar</t>
  </si>
  <si>
    <t>Row Labels</t>
  </si>
  <si>
    <t>Grand Total</t>
  </si>
  <si>
    <t>Count of Order ID</t>
  </si>
  <si>
    <t>Count of Order ID2</t>
  </si>
  <si>
    <t>Sum of Amount</t>
  </si>
  <si>
    <t>Column Labels</t>
  </si>
  <si>
    <t>May</t>
  </si>
  <si>
    <t>No</t>
  </si>
  <si>
    <t>Name</t>
  </si>
  <si>
    <t>Order Date</t>
  </si>
  <si>
    <t>Delivery Date</t>
  </si>
  <si>
    <t>SP Code</t>
  </si>
  <si>
    <t>State</t>
  </si>
  <si>
    <t>O1001</t>
  </si>
  <si>
    <t>C001</t>
  </si>
  <si>
    <t>M</t>
  </si>
  <si>
    <t>18-25</t>
  </si>
  <si>
    <t>January</t>
  </si>
  <si>
    <t>Online</t>
  </si>
  <si>
    <t>SP01</t>
  </si>
  <si>
    <t>Maharashtra</t>
  </si>
  <si>
    <t>O1002</t>
  </si>
  <si>
    <t>C002</t>
  </si>
  <si>
    <t>Sneha Kulkarni</t>
  </si>
  <si>
    <t>F</t>
  </si>
  <si>
    <t>26-35</t>
  </si>
  <si>
    <t>February</t>
  </si>
  <si>
    <t>Pending</t>
  </si>
  <si>
    <t>Store</t>
  </si>
  <si>
    <t>SP02</t>
  </si>
  <si>
    <t>Karnataka</t>
  </si>
  <si>
    <t>O1003</t>
  </si>
  <si>
    <t>C003</t>
  </si>
  <si>
    <t>Amit Deshmukh</t>
  </si>
  <si>
    <t>March</t>
  </si>
  <si>
    <t>SP03</t>
  </si>
  <si>
    <t>Gujarat</t>
  </si>
  <si>
    <t>O1004</t>
  </si>
  <si>
    <t>C004</t>
  </si>
  <si>
    <t>Pooja Sharma</t>
  </si>
  <si>
    <t>April</t>
  </si>
  <si>
    <t>Delhi</t>
  </si>
  <si>
    <t>O1005</t>
  </si>
  <si>
    <t>C005</t>
  </si>
  <si>
    <t>Vikram Joshi</t>
  </si>
  <si>
    <t>36-45</t>
  </si>
  <si>
    <t>SP04</t>
  </si>
  <si>
    <t>O1006</t>
  </si>
  <si>
    <t>C006</t>
  </si>
  <si>
    <t>Neha More</t>
  </si>
  <si>
    <t>June</t>
  </si>
  <si>
    <t>Telangana</t>
  </si>
  <si>
    <t>O1007</t>
  </si>
  <si>
    <t>C007</t>
  </si>
  <si>
    <t>Sagar Naik</t>
  </si>
  <si>
    <t>July</t>
  </si>
  <si>
    <t>Sports</t>
  </si>
  <si>
    <t>Goa</t>
  </si>
  <si>
    <t>O1008</t>
  </si>
  <si>
    <t>C008</t>
  </si>
  <si>
    <t>Priya Iyer</t>
  </si>
  <si>
    <t>August</t>
  </si>
  <si>
    <t>Tamil Nadu</t>
  </si>
  <si>
    <t>O1009</t>
  </si>
  <si>
    <t>C009</t>
  </si>
  <si>
    <t>Rohan Mehta</t>
  </si>
  <si>
    <t>September</t>
  </si>
  <si>
    <t>SP05</t>
  </si>
  <si>
    <t>O1010</t>
  </si>
  <si>
    <t>C010</t>
  </si>
  <si>
    <t>Aishwarya Kulkarni</t>
  </si>
  <si>
    <t>October</t>
  </si>
  <si>
    <t>O1011</t>
  </si>
  <si>
    <t>C011</t>
  </si>
  <si>
    <t>Karan Desai</t>
  </si>
  <si>
    <t>November</t>
  </si>
  <si>
    <t>O1012</t>
  </si>
  <si>
    <t>C012</t>
  </si>
  <si>
    <t>December</t>
  </si>
  <si>
    <t>O1013</t>
  </si>
  <si>
    <t>C013</t>
  </si>
  <si>
    <t>Mohit Kulkarni</t>
  </si>
  <si>
    <t>O1014</t>
  </si>
  <si>
    <t>C014</t>
  </si>
  <si>
    <t>Riya Shah</t>
  </si>
  <si>
    <t>Rajasthan</t>
  </si>
  <si>
    <t>O1015</t>
  </si>
  <si>
    <t>C015</t>
  </si>
  <si>
    <t>Nikhil Patil</t>
  </si>
  <si>
    <t>O1016</t>
  </si>
  <si>
    <t>C016</t>
  </si>
  <si>
    <t>Shruti Naik</t>
  </si>
  <si>
    <t>O1017</t>
  </si>
  <si>
    <t>C017</t>
  </si>
  <si>
    <t>Deepak Sharma</t>
  </si>
  <si>
    <t>O1018</t>
  </si>
  <si>
    <t>C018</t>
  </si>
  <si>
    <t>Manisha Iyer</t>
  </si>
  <si>
    <t>O1019</t>
  </si>
  <si>
    <t>C019</t>
  </si>
  <si>
    <t>Tushar Joshi</t>
  </si>
  <si>
    <t>O1020</t>
  </si>
  <si>
    <t>C020</t>
  </si>
  <si>
    <t>Kavita Deshmukh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</si>
</sst>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0" xfId="0" pivotButton="1"/>
    <xf numFmtId="0" fontId="0" fillId="0" borderId="0" xfId="0" applyAlignment="1">
      <alignment horizontal="left"/>
    </xf>
    <xf numFmtId="10"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[pivot.xlsx]CHANNEL!PivotTable1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CHANNEL!$B$1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022-4ED6-8843-367A11DF032F}"/>
              </c:ext>
            </c:extLst>
          </c:dPt>
          <c:dPt>
            <c:idx val="1"/>
            <c:bubble3D val="0"/>
            <c:spPr>
              <a:solidFill>
                <a:schemeClr val="accent2"/>
              </a:solidFill>
              <a:ln>
                <a:noFill/>
              </a:ln>
              <a:effectLst/>
            </c:spPr>
            <c:extLst>
              <c:ext xmlns:c16="http://schemas.microsoft.com/office/drawing/2014/chart" uri="{C3380CC4-5D6E-409C-BE32-E72D297353CC}">
                <c16:uniqueId val="{00000003-E022-4ED6-8843-367A11DF032F}"/>
              </c:ext>
            </c:extLst>
          </c:dPt>
          <c:dPt>
            <c:idx val="2"/>
            <c:bubble3D val="0"/>
            <c:spPr>
              <a:solidFill>
                <a:schemeClr val="accent3"/>
              </a:solidFill>
              <a:ln>
                <a:noFill/>
              </a:ln>
              <a:effectLst/>
            </c:spPr>
            <c:extLst>
              <c:ext xmlns:c16="http://schemas.microsoft.com/office/drawing/2014/chart" uri="{C3380CC4-5D6E-409C-BE32-E72D297353CC}">
                <c16:uniqueId val="{00000005-E022-4ED6-8843-367A11DF032F}"/>
              </c:ext>
            </c:extLst>
          </c:dPt>
          <c:dPt>
            <c:idx val="3"/>
            <c:bubble3D val="0"/>
            <c:spPr>
              <a:solidFill>
                <a:schemeClr val="accent4"/>
              </a:solidFill>
              <a:ln>
                <a:noFill/>
              </a:ln>
              <a:effectLst/>
            </c:spPr>
            <c:extLst>
              <c:ext xmlns:c16="http://schemas.microsoft.com/office/drawing/2014/chart" uri="{C3380CC4-5D6E-409C-BE32-E72D297353CC}">
                <c16:uniqueId val="{00000007-E022-4ED6-8843-367A11DF03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CHANNEL!$A$2:$A$5</c:f>
              <c:strCache>
                <c:ptCount val="3"/>
                <c:pt idx="0">
                  <c:v>Amazon</c:v>
                </c:pt>
                <c:pt idx="1">
                  <c:v>Flipkart</c:v>
                </c:pt>
                <c:pt idx="2">
                  <c:v>Website</c:v>
                </c:pt>
              </c:strCache>
            </c:strRef>
          </c:cat>
          <c:val>
            <c:numRef>
              <c:f>CHANNEL!$B$2:$B$5</c:f>
              <c:numCache>
                <c:formatCode>0.00%</c:formatCode>
                <c:ptCount val="3"/>
                <c:pt idx="0">
                  <c:v>0.42857142857142855</c:v>
                </c:pt>
                <c:pt idx="1">
                  <c:v>0.2857142857142857</c:v>
                </c:pt>
                <c:pt idx="2">
                  <c:v>0.2857142857142857</c:v>
                </c:pt>
              </c:numCache>
            </c:numRef>
          </c:val>
          <c:extLst>
            <c:ext xmlns:c16="http://schemas.microsoft.com/office/drawing/2014/chart" uri="{C3380CC4-5D6E-409C-BE32-E72D297353CC}">
              <c16:uniqueId val="{00000000-36DE-42E1-9E43-E6A766E9F0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[pivot.xlsx]CHANNEL!PivotTable1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pieChart>
        <c:varyColors val="1"/>
        <c:ser>
          <c:idx val="0"/>
          <c:order val="0"/>
          <c:tx>
            <c:strRef>
              <c:f>CHANNEL!$B$1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982-4360-BD89-DD4A1E207D83}"/>
              </c:ext>
            </c:extLst>
          </c:dPt>
          <c:dPt>
            <c:idx val="1"/>
            <c:bubble3D val="0"/>
            <c:spPr>
              <a:solidFill>
                <a:schemeClr val="accent2"/>
              </a:solidFill>
              <a:ln>
                <a:noFill/>
              </a:ln>
              <a:effectLst/>
            </c:spPr>
            <c:extLst>
              <c:ext xmlns:c16="http://schemas.microsoft.com/office/drawing/2014/chart" uri="{C3380CC4-5D6E-409C-BE32-E72D297353CC}">
                <c16:uniqueId val="{00000003-F982-4360-BD89-DD4A1E207D83}"/>
              </c:ext>
            </c:extLst>
          </c:dPt>
          <c:dPt>
            <c:idx val="2"/>
            <c:bubble3D val="0"/>
            <c:spPr>
              <a:solidFill>
                <a:schemeClr val="accent3"/>
              </a:solidFill>
              <a:ln>
                <a:noFill/>
              </a:ln>
              <a:effectLst/>
            </c:spPr>
            <c:extLst>
              <c:ext xmlns:c16="http://schemas.microsoft.com/office/drawing/2014/chart" uri="{C3380CC4-5D6E-409C-BE32-E72D297353CC}">
                <c16:uniqueId val="{00000005-F982-4360-BD89-DD4A1E207D83}"/>
              </c:ext>
            </c:extLst>
          </c:dPt>
          <c:dPt>
            <c:idx val="3"/>
            <c:bubble3D val="0"/>
            <c:spPr>
              <a:solidFill>
                <a:schemeClr val="accent4"/>
              </a:solidFill>
              <a:ln>
                <a:noFill/>
              </a:ln>
              <a:effectLst/>
            </c:spPr>
            <c:extLst>
              <c:ext xmlns:c16="http://schemas.microsoft.com/office/drawing/2014/chart" uri="{C3380CC4-5D6E-409C-BE32-E72D297353CC}">
                <c16:uniqueId val="{00000007-F982-4360-BD89-DD4A1E207D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CHANNEL!$A$2:$A$5</c:f>
              <c:strCache>
                <c:ptCount val="3"/>
                <c:pt idx="0">
                  <c:v>Amazon</c:v>
                </c:pt>
                <c:pt idx="1">
                  <c:v>Flipkart</c:v>
                </c:pt>
                <c:pt idx="2">
                  <c:v>Website</c:v>
                </c:pt>
              </c:strCache>
            </c:strRef>
          </c:cat>
          <c:val>
            <c:numRef>
              <c:f>CHANNEL!$B$2:$B$5</c:f>
              <c:numCache>
                <c:formatCode>0.00%</c:formatCode>
                <c:ptCount val="3"/>
                <c:pt idx="0">
                  <c:v>0.42857142857142855</c:v>
                </c:pt>
                <c:pt idx="1">
                  <c:v>0.2857142857142857</c:v>
                </c:pt>
                <c:pt idx="2">
                  <c:v>0.2857142857142857</c:v>
                </c:pt>
              </c:numCache>
            </c:numRef>
          </c:val>
          <c:extLst>
            <c:ext xmlns:c16="http://schemas.microsoft.com/office/drawing/2014/chart" uri="{C3380CC4-5D6E-409C-BE32-E72D297353CC}">
              <c16:uniqueId val="{00000008-F982-4360-BD89-DD4A1E207D8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[pivot.xlsx]TOP 5 STATE!PivotTable2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STATE'!$B$1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STATE'!$A$2:$A$7</c:f>
              <c:strCache>
                <c:ptCount val="5"/>
                <c:pt idx="0">
                  <c:v>422001</c:v>
                </c:pt>
                <c:pt idx="1">
                  <c:v>411014</c:v>
                </c:pt>
                <c:pt idx="2">
                  <c:v>411001</c:v>
                </c:pt>
                <c:pt idx="3">
                  <c:v>400001</c:v>
                </c:pt>
                <c:pt idx="4">
                  <c:v>380001</c:v>
                </c:pt>
              </c:strCache>
            </c:strRef>
          </c:cat>
          <c:val>
            <c:numRef>
              <c:f>'TOP 5 STATE'!$B$2:$B$7</c:f>
              <c:numCache>
                <c:formatCode>General</c:formatCode>
                <c:ptCount val="5"/>
                <c:pt idx="0">
                  <c:v>18000</c:v>
                </c:pt>
                <c:pt idx="1">
                  <c:v>2800</c:v>
                </c:pt>
                <c:pt idx="2">
                  <c:v>25000</c:v>
                </c:pt>
                <c:pt idx="3">
                  <c:v>4500</c:v>
                </c:pt>
                <c:pt idx="4">
                  <c:v>3200</c:v>
                </c:pt>
              </c:numCache>
            </c:numRef>
          </c:val>
          <c:extLst>
            <c:ext xmlns:c16="http://schemas.microsoft.com/office/drawing/2014/chart" uri="{C3380CC4-5D6E-409C-BE32-E72D297353CC}">
              <c16:uniqueId val="{00000000-A10B-423F-A29F-7E0A60EE8CE3}"/>
            </c:ext>
          </c:extLst>
        </c:ser>
        <c:dLbls>
          <c:dLblPos val="outEnd"/>
          <c:showLegendKey val="0"/>
          <c:showVal val="1"/>
          <c:showCatName val="0"/>
          <c:showSerName val="0"/>
          <c:showPercent val="0"/>
          <c:showBubbleSize val="0"/>
        </c:dLbls>
        <c:gapWidth val="219"/>
        <c:axId val="1643617408"/>
        <c:axId val="1643619328"/>
      </c:barChart>
      <c:catAx>
        <c:axId val="16436174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619328"/>
        <c:crosses val="autoZero"/>
        <c:auto val="1"/>
        <c:lblAlgn val="ctr"/>
        <c:lblOffset val="100"/>
        <c:noMultiLvlLbl val="0"/>
      </c:catAx>
      <c:valAx>
        <c:axId val="16436193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61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[pivot.xlsx]GENDER!PivotTable3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GENDER!$B$1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F5E-4AFB-828F-954BC636C6FE}"/>
              </c:ext>
            </c:extLst>
          </c:dPt>
          <c:dPt>
            <c:idx val="1"/>
            <c:bubble3D val="0"/>
            <c:spPr>
              <a:solidFill>
                <a:schemeClr val="accent2"/>
              </a:solidFill>
              <a:ln>
                <a:noFill/>
              </a:ln>
              <a:effectLst/>
            </c:spPr>
            <c:extLst>
              <c:ext xmlns:c16="http://schemas.microsoft.com/office/drawing/2014/chart" uri="{C3380CC4-5D6E-409C-BE32-E72D297353CC}">
                <c16:uniqueId val="{00000003-CF5E-4AFB-828F-954BC636C6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GENDER!$A$2:$A$4</c:f>
              <c:strCache>
                <c:ptCount val="2"/>
                <c:pt idx="0">
                  <c:v>Female</c:v>
                </c:pt>
                <c:pt idx="1">
                  <c:v>Male</c:v>
                </c:pt>
              </c:strCache>
            </c:strRef>
          </c:cat>
          <c:val>
            <c:numRef>
              <c:f>GENDER!$B$2:$B$4</c:f>
              <c:numCache>
                <c:formatCode>0.00%</c:formatCode>
                <c:ptCount val="2"/>
                <c:pt idx="0">
                  <c:v>0.42857142857142855</c:v>
                </c:pt>
                <c:pt idx="1">
                  <c:v>0.5714285714285714</c:v>
                </c:pt>
              </c:numCache>
            </c:numRef>
          </c:val>
          <c:extLst>
            <c:ext xmlns:c16="http://schemas.microsoft.com/office/drawing/2014/chart" uri="{C3380CC4-5D6E-409C-BE32-E72D297353CC}">
              <c16:uniqueId val="{00000004-CF5E-4AFB-828F-954BC636C6F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[pivot.xlsx]AGE AND GENDER!PivotTable4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&amp;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AND GENDER'!$B$1:$B$2</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AND GENDER'!$A$3:$A$5</c:f>
              <c:strCache>
                <c:ptCount val="2"/>
                <c:pt idx="0">
                  <c:v>Adult</c:v>
                </c:pt>
                <c:pt idx="1">
                  <c:v>Young Adult</c:v>
                </c:pt>
              </c:strCache>
            </c:strRef>
          </c:cat>
          <c:val>
            <c:numRef>
              <c:f>'AGE AND GENDER'!$B$3:$B$5</c:f>
              <c:numCache>
                <c:formatCode>0.00%</c:formatCode>
                <c:ptCount val="2"/>
                <c:pt idx="0">
                  <c:v>0.2857142857142857</c:v>
                </c:pt>
                <c:pt idx="1">
                  <c:v>0.14285714285714285</c:v>
                </c:pt>
              </c:numCache>
            </c:numRef>
          </c:val>
          <c:extLst>
            <c:ext xmlns:c16="http://schemas.microsoft.com/office/drawing/2014/chart" uri="{C3380CC4-5D6E-409C-BE32-E72D297353CC}">
              <c16:uniqueId val="{00000000-8222-4751-B0A7-B1B2429F8DCF}"/>
            </c:ext>
          </c:extLst>
        </c:ser>
        <c:ser>
          <c:idx val="1"/>
          <c:order val="1"/>
          <c:tx>
            <c:strRef>
              <c:f>'AGE AND GENDER'!$C$1:$C$2</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AND GENDER'!$A$3:$A$5</c:f>
              <c:strCache>
                <c:ptCount val="2"/>
                <c:pt idx="0">
                  <c:v>Adult</c:v>
                </c:pt>
                <c:pt idx="1">
                  <c:v>Young Adult</c:v>
                </c:pt>
              </c:strCache>
            </c:strRef>
          </c:cat>
          <c:val>
            <c:numRef>
              <c:f>'AGE AND GENDER'!$C$3:$C$5</c:f>
              <c:numCache>
                <c:formatCode>0.00%</c:formatCode>
                <c:ptCount val="2"/>
                <c:pt idx="0">
                  <c:v>0.42857142857142855</c:v>
                </c:pt>
                <c:pt idx="1">
                  <c:v>0.14285714285714285</c:v>
                </c:pt>
              </c:numCache>
            </c:numRef>
          </c:val>
          <c:extLst>
            <c:ext xmlns:c16="http://schemas.microsoft.com/office/drawing/2014/chart" uri="{C3380CC4-5D6E-409C-BE32-E72D297353CC}">
              <c16:uniqueId val="{00000001-177B-4E02-AE1C-BDB506B47313}"/>
            </c:ext>
          </c:extLst>
        </c:ser>
        <c:dLbls>
          <c:dLblPos val="outEnd"/>
          <c:showLegendKey val="0"/>
          <c:showVal val="1"/>
          <c:showCatName val="0"/>
          <c:showSerName val="0"/>
          <c:showPercent val="0"/>
          <c:showBubbleSize val="0"/>
        </c:dLbls>
        <c:gapWidth val="219"/>
        <c:overlap val="-27"/>
        <c:axId val="1717501904"/>
        <c:axId val="1717509104"/>
      </c:barChart>
      <c:catAx>
        <c:axId val="171750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509104"/>
        <c:crosses val="autoZero"/>
        <c:auto val="1"/>
        <c:lblAlgn val="ctr"/>
        <c:lblOffset val="100"/>
        <c:noMultiLvlLbl val="0"/>
      </c:catAx>
      <c:valAx>
        <c:axId val="1717509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50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[pivot.xlsx]ORDER STATUS!PivotTable5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pieChart>
        <c:varyColors val="1"/>
        <c:ser>
          <c:idx val="0"/>
          <c:order val="0"/>
          <c:tx>
            <c:strRef>
              <c:f>'ORDER STATUS'!$B$1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BD2-490F-AA47-8E4987C3065E}"/>
              </c:ext>
            </c:extLst>
          </c:dPt>
          <c:dPt>
            <c:idx val="1"/>
            <c:bubble3D val="0"/>
            <c:spPr>
              <a:solidFill>
                <a:schemeClr val="accent2"/>
              </a:solidFill>
              <a:ln>
                <a:noFill/>
              </a:ln>
              <a:effectLst/>
            </c:spPr>
            <c:extLst>
              <c:ext xmlns:c16="http://schemas.microsoft.com/office/drawing/2014/chart" uri="{C3380CC4-5D6E-409C-BE32-E72D297353CC}">
                <c16:uniqueId val="{00000003-8BD2-490F-AA47-8E4987C3065E}"/>
              </c:ext>
            </c:extLst>
          </c:dPt>
          <c:dPt>
            <c:idx val="2"/>
            <c:bubble3D val="0"/>
            <c:spPr>
              <a:solidFill>
                <a:schemeClr val="accent3"/>
              </a:solidFill>
              <a:ln>
                <a:noFill/>
              </a:ln>
              <a:effectLst/>
            </c:spPr>
            <c:extLst>
              <c:ext xmlns:c16="http://schemas.microsoft.com/office/drawing/2014/chart" uri="{C3380CC4-5D6E-409C-BE32-E72D297353CC}">
                <c16:uniqueId val="{00000005-8BD2-490F-AA47-8E4987C3065E}"/>
              </c:ext>
            </c:extLst>
          </c:dPt>
          <c:dPt>
            <c:idx val="3"/>
            <c:bubble3D val="0"/>
            <c:spPr>
              <a:solidFill>
                <a:schemeClr val="accent4"/>
              </a:solidFill>
              <a:ln>
                <a:noFill/>
              </a:ln>
              <a:effectLst/>
            </c:spPr>
            <c:extLst>
              <c:ext xmlns:c16="http://schemas.microsoft.com/office/drawing/2014/chart" uri="{C3380CC4-5D6E-409C-BE32-E72D297353CC}">
                <c16:uniqueId val="{00000007-8BD2-490F-AA47-8E4987C306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STATUS'!$A$2:$A$6</c:f>
              <c:strCache>
                <c:ptCount val="4"/>
                <c:pt idx="0">
                  <c:v>Cancelled</c:v>
                </c:pt>
                <c:pt idx="1">
                  <c:v>Delivered</c:v>
                </c:pt>
                <c:pt idx="2">
                  <c:v>Returned</c:v>
                </c:pt>
                <c:pt idx="3">
                  <c:v>Shipped</c:v>
                </c:pt>
              </c:strCache>
            </c:strRef>
          </c:cat>
          <c:val>
            <c:numRef>
              <c:f>'ORDER STATUS'!$B$2:$B$6</c:f>
              <c:numCache>
                <c:formatCode>0.00%</c:formatCode>
                <c:ptCount val="4"/>
                <c:pt idx="0">
                  <c:v>0.14285714285714285</c:v>
                </c:pt>
                <c:pt idx="1">
                  <c:v>0.5714285714285714</c:v>
                </c:pt>
                <c:pt idx="2">
                  <c:v>0.14285714285714285</c:v>
                </c:pt>
                <c:pt idx="3">
                  <c:v>0.14285714285714285</c:v>
                </c:pt>
              </c:numCache>
            </c:numRef>
          </c:val>
          <c:extLst>
            <c:ext xmlns:c16="http://schemas.microsoft.com/office/drawing/2014/chart" uri="{C3380CC4-5D6E-409C-BE32-E72D297353CC}">
              <c16:uniqueId val="{00000008-8BD2-490F-AA47-8E4987C306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[pivot.xlsx]Sheet9!PivotTable21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Sheet9!$B$1</c:f>
              <c:strCache>
                <c:ptCount val="1"/>
                <c:pt idx="0">
                  <c:v>Sum of Amount</c:v>
                </c:pt>
              </c:strCache>
            </c:strRef>
          </c:tx>
          <c:spPr>
            <a:solidFill>
              <a:schemeClr val="accent1"/>
            </a:solidFill>
            <a:ln>
              <a:noFill/>
            </a:ln>
            <a:effectLst/>
          </c:spPr>
          <c:invertIfNegative val="0"/>
          <c:cat>
            <c:strRef>
              <c:f>Sheet9!$A$2:$A$3</c:f>
              <c:strCache>
                <c:ptCount val="1"/>
                <c:pt idx="0">
                  <c:v>Jun</c:v>
                </c:pt>
              </c:strCache>
            </c:strRef>
          </c:cat>
          <c:val>
            <c:numRef>
              <c:f>Sheet9!$B$2:$B$3</c:f>
              <c:numCache>
                <c:formatCode>General</c:formatCode>
                <c:ptCount val="1"/>
                <c:pt idx="0">
                  <c:v>57500</c:v>
                </c:pt>
              </c:numCache>
            </c:numRef>
          </c:val>
          <c:extLst>
            <c:ext xmlns:c16="http://schemas.microsoft.com/office/drawing/2014/chart" uri="{C3380CC4-5D6E-409C-BE32-E72D297353CC}">
              <c16:uniqueId val="{00000000-6732-4A9A-8AB9-69EA4893AF07}"/>
            </c:ext>
          </c:extLst>
        </c:ser>
        <c:dLbls>
          <c:showLegendKey val="0"/>
          <c:showVal val="0"/>
          <c:showCatName val="0"/>
          <c:showSerName val="0"/>
          <c:showPercent val="0"/>
          <c:showBubbleSize val="0"/>
        </c:dLbls>
        <c:gapWidth val="219"/>
        <c:axId val="1766609504"/>
        <c:axId val="1766605664"/>
      </c:barChart>
      <c:lineChart>
        <c:grouping val="standard"/>
        <c:varyColors val="0"/>
        <c:ser>
          <c:idx val="1"/>
          <c:order val="1"/>
          <c:tx>
            <c:strRef>
              <c:f>Sheet9!$C$1</c:f>
              <c:strCache>
                <c:ptCount val="1"/>
                <c:pt idx="0">
                  <c:v>Count of Order ID</c:v>
                </c:pt>
              </c:strCache>
            </c:strRef>
          </c:tx>
          <c:spPr>
            <a:ln w="28575" cap="rnd">
              <a:solidFill>
                <a:schemeClr val="accent2"/>
              </a:solidFill>
              <a:round/>
            </a:ln>
            <a:effectLst/>
          </c:spPr>
          <c:marker>
            <c:symbol val="none"/>
          </c:marker>
          <c:cat>
            <c:strRef>
              <c:f>Sheet9!$A$2:$A$3</c:f>
              <c:strCache>
                <c:ptCount val="1"/>
                <c:pt idx="0">
                  <c:v>Jun</c:v>
                </c:pt>
              </c:strCache>
            </c:strRef>
          </c:cat>
          <c:val>
            <c:numRef>
              <c:f>Sheet9!$C$2:$C$3</c:f>
              <c:numCache>
                <c:formatCode>General</c:formatCode>
                <c:ptCount val="1"/>
                <c:pt idx="0">
                  <c:v>7</c:v>
                </c:pt>
              </c:numCache>
            </c:numRef>
          </c:val>
          <c:smooth val="0"/>
          <c:extLst>
            <c:ext xmlns:c16="http://schemas.microsoft.com/office/drawing/2014/chart" uri="{C3380CC4-5D6E-409C-BE32-E72D297353CC}">
              <c16:uniqueId val="{00000001-6732-4A9A-8AB9-69EA4893AF07}"/>
            </c:ext>
          </c:extLst>
        </c:ser>
        <c:dLbls>
          <c:showLegendKey val="0"/>
          <c:showVal val="0"/>
          <c:showCatName val="0"/>
          <c:showSerName val="0"/>
          <c:showPercent val="0"/>
          <c:showBubbleSize val="0"/>
        </c:dLbls>
        <c:marker val="1"/>
        <c:smooth val="0"/>
        <c:axId val="1766609504"/>
        <c:axId val="1766605664"/>
      </c:lineChart>
      <c:catAx>
        <c:axId val="176660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05664"/>
        <c:crosses val="autoZero"/>
        <c:auto val="1"/>
        <c:lblAlgn val="ctr"/>
        <c:lblOffset val="100"/>
        <c:noMultiLvlLbl val="0"/>
      </c:catAx>
      <c:valAx>
        <c:axId val="176660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0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[pivot.xlsx]Sheet12!PivotTable23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Sheet12!$B$1</c:f>
              <c:strCache>
                <c:ptCount val="1"/>
                <c:pt idx="0">
                  <c:v>Sum of Amount</c:v>
                </c:pt>
              </c:strCache>
            </c:strRef>
          </c:tx>
          <c:spPr>
            <a:solidFill>
              <a:schemeClr val="accent1"/>
            </a:solidFill>
            <a:ln>
              <a:noFill/>
            </a:ln>
            <a:effectLst/>
          </c:spPr>
          <c:invertIfNegative val="0"/>
          <c:cat>
            <c:strRef>
              <c:f>Sheet12!$A$2:$A$14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Sheet12!$B$2:$B$14</c:f>
              <c:numCache>
                <c:formatCode>General</c:formatCode>
                <c:ptCount val="12"/>
                <c:pt idx="0">
                  <c:v>2100</c:v>
                </c:pt>
                <c:pt idx="1">
                  <c:v>6800</c:v>
                </c:pt>
                <c:pt idx="2">
                  <c:v>3500</c:v>
                </c:pt>
                <c:pt idx="3">
                  <c:v>2300</c:v>
                </c:pt>
                <c:pt idx="4">
                  <c:v>7500</c:v>
                </c:pt>
                <c:pt idx="5">
                  <c:v>10800</c:v>
                </c:pt>
                <c:pt idx="6">
                  <c:v>4300</c:v>
                </c:pt>
                <c:pt idx="7">
                  <c:v>4300</c:v>
                </c:pt>
                <c:pt idx="8">
                  <c:v>7500</c:v>
                </c:pt>
                <c:pt idx="9">
                  <c:v>1100</c:v>
                </c:pt>
                <c:pt idx="10">
                  <c:v>2400</c:v>
                </c:pt>
                <c:pt idx="11">
                  <c:v>1600</c:v>
                </c:pt>
              </c:numCache>
            </c:numRef>
          </c:val>
          <c:extLst>
            <c:ext xmlns:c16="http://schemas.microsoft.com/office/drawing/2014/chart" uri="{C3380CC4-5D6E-409C-BE32-E72D297353CC}">
              <c16:uniqueId val="{00000000-83F6-43F2-BBCC-A316E8A8417D}"/>
            </c:ext>
          </c:extLst>
        </c:ser>
        <c:dLbls>
          <c:showLegendKey val="0"/>
          <c:showVal val="0"/>
          <c:showCatName val="0"/>
          <c:showSerName val="0"/>
          <c:showPercent val="0"/>
          <c:showBubbleSize val="0"/>
        </c:dLbls>
        <c:gapWidth val="219"/>
        <c:axId val="1674140864"/>
        <c:axId val="1674146624"/>
      </c:barChart>
      <c:lineChart>
        <c:grouping val="standard"/>
        <c:varyColors val="0"/>
        <c:ser>
          <c:idx val="1"/>
          <c:order val="1"/>
          <c:tx>
            <c:strRef>
              <c:f>Sheet12!$C$1</c:f>
              <c:strCache>
                <c:ptCount val="1"/>
                <c:pt idx="0">
                  <c:v>Count of Order ID</c:v>
                </c:pt>
              </c:strCache>
            </c:strRef>
          </c:tx>
          <c:spPr>
            <a:ln w="28575" cap="rnd">
              <a:solidFill>
                <a:schemeClr val="accent2"/>
              </a:solidFill>
              <a:round/>
            </a:ln>
            <a:effectLst/>
          </c:spPr>
          <c:marker>
            <c:symbol val="none"/>
          </c:marker>
          <c:cat>
            <c:strRef>
              <c:f>Sheet12!$A$2:$A$14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Sheet12!$C$2:$C$14</c:f>
              <c:numCache>
                <c:formatCode>General</c:formatCode>
                <c:ptCount val="12"/>
                <c:pt idx="0">
                  <c:v>2</c:v>
                </c:pt>
                <c:pt idx="1">
                  <c:v>2</c:v>
                </c:pt>
                <c:pt idx="2">
                  <c:v>2</c:v>
                </c:pt>
                <c:pt idx="3">
                  <c:v>2</c:v>
                </c:pt>
                <c:pt idx="4">
                  <c:v>2</c:v>
                </c:pt>
                <c:pt idx="5">
                  <c:v>2</c:v>
                </c:pt>
                <c:pt idx="6">
                  <c:v>2</c:v>
                </c:pt>
                <c:pt idx="7">
                  <c:v>2</c:v>
                </c:pt>
                <c:pt idx="8">
                  <c:v>1</c:v>
                </c:pt>
                <c:pt idx="9">
                  <c:v>1</c:v>
                </c:pt>
                <c:pt idx="10">
                  <c:v>1</c:v>
                </c:pt>
                <c:pt idx="11">
                  <c:v>1</c:v>
                </c:pt>
              </c:numCache>
            </c:numRef>
          </c:val>
          <c:smooth val="0"/>
          <c:extLst>
            <c:ext xmlns:c16="http://schemas.microsoft.com/office/drawing/2014/chart" uri="{C3380CC4-5D6E-409C-BE32-E72D297353CC}">
              <c16:uniqueId val="{00000001-83F6-43F2-BBCC-A316E8A8417D}"/>
            </c:ext>
          </c:extLst>
        </c:ser>
        <c:dLbls>
          <c:showLegendKey val="0"/>
          <c:showVal val="0"/>
          <c:showCatName val="0"/>
          <c:showSerName val="0"/>
          <c:showPercent val="0"/>
          <c:showBubbleSize val="0"/>
        </c:dLbls>
        <c:marker val="1"/>
        <c:smooth val="0"/>
        <c:axId val="1813908832"/>
        <c:axId val="1813903552"/>
      </c:lineChart>
      <c:catAx>
        <c:axId val="167414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146624"/>
        <c:crosses val="autoZero"/>
        <c:auto val="1"/>
        <c:lblAlgn val="ctr"/>
        <c:lblOffset val="100"/>
        <c:noMultiLvlLbl val="0"/>
      </c:catAx>
      <c:valAx>
        <c:axId val="167414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140864"/>
        <c:crosses val="autoZero"/>
        <c:crossBetween val="between"/>
      </c:valAx>
      <c:valAx>
        <c:axId val="18139035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908832"/>
        <c:crosses val="max"/>
        <c:crossBetween val="between"/>
      </c:valAx>
      <c:catAx>
        <c:axId val="1813908832"/>
        <c:scaling>
          <c:orientation val="minMax"/>
        </c:scaling>
        <c:delete val="1"/>
        <c:axPos val="b"/>
        <c:numFmt formatCode="General" sourceLinked="1"/>
        <c:majorTickMark val="out"/>
        <c:minorTickMark val="none"/>
        <c:tickLblPos val="nextTo"/>
        <c:crossAx val="18139035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[pivot.xlsx]Sheet12!PivotTable23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Sheet12!$B$1</c:f>
              <c:strCache>
                <c:ptCount val="1"/>
                <c:pt idx="0">
                  <c:v>Sum of Amount</c:v>
                </c:pt>
              </c:strCache>
            </c:strRef>
          </c:tx>
          <c:spPr>
            <a:solidFill>
              <a:schemeClr val="accent1"/>
            </a:solidFill>
            <a:ln>
              <a:noFill/>
            </a:ln>
            <a:effectLst/>
          </c:spPr>
          <c:invertIfNegative val="0"/>
          <c:cat>
            <c:strRef>
              <c:f>Sheet12!$A$2:$A$14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Sheet12!$B$2:$B$14</c:f>
              <c:numCache>
                <c:formatCode>General</c:formatCode>
                <c:ptCount val="12"/>
                <c:pt idx="0">
                  <c:v>2100</c:v>
                </c:pt>
                <c:pt idx="1">
                  <c:v>6800</c:v>
                </c:pt>
                <c:pt idx="2">
                  <c:v>3500</c:v>
                </c:pt>
                <c:pt idx="3">
                  <c:v>2300</c:v>
                </c:pt>
                <c:pt idx="4">
                  <c:v>7500</c:v>
                </c:pt>
                <c:pt idx="5">
                  <c:v>10800</c:v>
                </c:pt>
                <c:pt idx="6">
                  <c:v>4300</c:v>
                </c:pt>
                <c:pt idx="7">
                  <c:v>4300</c:v>
                </c:pt>
                <c:pt idx="8">
                  <c:v>7500</c:v>
                </c:pt>
                <c:pt idx="9">
                  <c:v>1100</c:v>
                </c:pt>
                <c:pt idx="10">
                  <c:v>2400</c:v>
                </c:pt>
                <c:pt idx="11">
                  <c:v>1600</c:v>
                </c:pt>
              </c:numCache>
            </c:numRef>
          </c:val>
          <c:extLst>
            <c:ext xmlns:c16="http://schemas.microsoft.com/office/drawing/2014/chart" uri="{C3380CC4-5D6E-409C-BE32-E72D297353CC}">
              <c16:uniqueId val="{00000000-FCBC-47E5-B83F-016F61F9CABC}"/>
            </c:ext>
          </c:extLst>
        </c:ser>
        <c:dLbls>
          <c:showLegendKey val="0"/>
          <c:showVal val="0"/>
          <c:showCatName val="0"/>
          <c:showSerName val="0"/>
          <c:showPercent val="0"/>
          <c:showBubbleSize val="0"/>
        </c:dLbls>
        <c:gapWidth val="219"/>
        <c:axId val="1674140864"/>
        <c:axId val="1674146624"/>
      </c:barChart>
      <c:lineChart>
        <c:grouping val="standard"/>
        <c:varyColors val="0"/>
        <c:ser>
          <c:idx val="1"/>
          <c:order val="1"/>
          <c:tx>
            <c:strRef>
              <c:f>Sheet12!$C$1</c:f>
              <c:strCache>
                <c:ptCount val="1"/>
                <c:pt idx="0">
                  <c:v>Count of Order ID</c:v>
                </c:pt>
              </c:strCache>
            </c:strRef>
          </c:tx>
          <c:spPr>
            <a:ln w="28575" cap="rnd">
              <a:solidFill>
                <a:schemeClr val="accent2"/>
              </a:solidFill>
              <a:round/>
            </a:ln>
            <a:effectLst/>
          </c:spPr>
          <c:marker>
            <c:symbol val="none"/>
          </c:marker>
          <c:cat>
            <c:strRef>
              <c:f>Sheet12!$A$2:$A$14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Sheet12!$C$2:$C$14</c:f>
              <c:numCache>
                <c:formatCode>General</c:formatCode>
                <c:ptCount val="12"/>
                <c:pt idx="0">
                  <c:v>2</c:v>
                </c:pt>
                <c:pt idx="1">
                  <c:v>2</c:v>
                </c:pt>
                <c:pt idx="2">
                  <c:v>2</c:v>
                </c:pt>
                <c:pt idx="3">
                  <c:v>2</c:v>
                </c:pt>
                <c:pt idx="4">
                  <c:v>2</c:v>
                </c:pt>
                <c:pt idx="5">
                  <c:v>2</c:v>
                </c:pt>
                <c:pt idx="6">
                  <c:v>2</c:v>
                </c:pt>
                <c:pt idx="7">
                  <c:v>2</c:v>
                </c:pt>
                <c:pt idx="8">
                  <c:v>1</c:v>
                </c:pt>
                <c:pt idx="9">
                  <c:v>1</c:v>
                </c:pt>
                <c:pt idx="10">
                  <c:v>1</c:v>
                </c:pt>
                <c:pt idx="11">
                  <c:v>1</c:v>
                </c:pt>
              </c:numCache>
            </c:numRef>
          </c:val>
          <c:smooth val="0"/>
          <c:extLst>
            <c:ext xmlns:c16="http://schemas.microsoft.com/office/drawing/2014/chart" uri="{C3380CC4-5D6E-409C-BE32-E72D297353CC}">
              <c16:uniqueId val="{00000002-FCBC-47E5-B83F-016F61F9CABC}"/>
            </c:ext>
          </c:extLst>
        </c:ser>
        <c:dLbls>
          <c:showLegendKey val="0"/>
          <c:showVal val="0"/>
          <c:showCatName val="0"/>
          <c:showSerName val="0"/>
          <c:showPercent val="0"/>
          <c:showBubbleSize val="0"/>
        </c:dLbls>
        <c:marker val="1"/>
        <c:smooth val="0"/>
        <c:axId val="1813908832"/>
        <c:axId val="1813903552"/>
      </c:lineChart>
      <c:catAx>
        <c:axId val="167414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146624"/>
        <c:crosses val="autoZero"/>
        <c:auto val="1"/>
        <c:lblAlgn val="ctr"/>
        <c:lblOffset val="100"/>
        <c:noMultiLvlLbl val="0"/>
      </c:catAx>
      <c:valAx>
        <c:axId val="167414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140864"/>
        <c:crosses val="autoZero"/>
        <c:crossBetween val="between"/>
      </c:valAx>
      <c:valAx>
        <c:axId val="18139035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908832"/>
        <c:crosses val="max"/>
        <c:crossBetween val="between"/>
      </c:valAx>
      <c:catAx>
        <c:axId val="1813908832"/>
        <c:scaling>
          <c:orientation val="minMax"/>
        </c:scaling>
        <c:delete val="1"/>
        <c:axPos val="b"/>
        <c:numFmt formatCode="General" sourceLinked="1"/>
        <c:majorTickMark val="out"/>
        <c:minorTickMark val="none"/>
        <c:tickLblPos val="nextTo"/>
        <c:crossAx val="18139035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[pivot.xlsx]AGE AND GENDER!PivotTable4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AND GENDER'!$B$1:$B$2</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AND GENDER'!$A$3:$A$5</c:f>
              <c:strCache>
                <c:ptCount val="2"/>
                <c:pt idx="0">
                  <c:v>Adult</c:v>
                </c:pt>
                <c:pt idx="1">
                  <c:v>Young Adult</c:v>
                </c:pt>
              </c:strCache>
            </c:strRef>
          </c:cat>
          <c:val>
            <c:numRef>
              <c:f>'AGE AND GENDER'!$B$3:$B$5</c:f>
              <c:numCache>
                <c:formatCode>0.00%</c:formatCode>
                <c:ptCount val="2"/>
                <c:pt idx="0">
                  <c:v>0.2857142857142857</c:v>
                </c:pt>
                <c:pt idx="1">
                  <c:v>0.14285714285714285</c:v>
                </c:pt>
              </c:numCache>
            </c:numRef>
          </c:val>
          <c:extLst>
            <c:ext xmlns:c16="http://schemas.microsoft.com/office/drawing/2014/chart" uri="{C3380CC4-5D6E-409C-BE32-E72D297353CC}">
              <c16:uniqueId val="{00000000-B820-4745-B85C-C3BECF926865}"/>
            </c:ext>
          </c:extLst>
        </c:ser>
        <c:ser>
          <c:idx val="1"/>
          <c:order val="1"/>
          <c:tx>
            <c:strRef>
              <c:f>'AGE AND GENDER'!$C$1:$C$2</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AND GENDER'!$A$3:$A$5</c:f>
              <c:strCache>
                <c:ptCount val="2"/>
                <c:pt idx="0">
                  <c:v>Adult</c:v>
                </c:pt>
                <c:pt idx="1">
                  <c:v>Young Adult</c:v>
                </c:pt>
              </c:strCache>
            </c:strRef>
          </c:cat>
          <c:val>
            <c:numRef>
              <c:f>'AGE AND GENDER'!$C$3:$C$5</c:f>
              <c:numCache>
                <c:formatCode>0.00%</c:formatCode>
                <c:ptCount val="2"/>
                <c:pt idx="0">
                  <c:v>0.42857142857142855</c:v>
                </c:pt>
                <c:pt idx="1">
                  <c:v>0.14285714285714285</c:v>
                </c:pt>
              </c:numCache>
            </c:numRef>
          </c:val>
          <c:extLst>
            <c:ext xmlns:c16="http://schemas.microsoft.com/office/drawing/2014/chart" uri="{C3380CC4-5D6E-409C-BE32-E72D297353CC}">
              <c16:uniqueId val="{00000000-4B7E-4730-AFE1-C50B44F03B3F}"/>
            </c:ext>
          </c:extLst>
        </c:ser>
        <c:dLbls>
          <c:dLblPos val="outEnd"/>
          <c:showLegendKey val="0"/>
          <c:showVal val="1"/>
          <c:showCatName val="0"/>
          <c:showSerName val="0"/>
          <c:showPercent val="0"/>
          <c:showBubbleSize val="0"/>
        </c:dLbls>
        <c:gapWidth val="219"/>
        <c:overlap val="-27"/>
        <c:axId val="1717501904"/>
        <c:axId val="1717509104"/>
      </c:barChart>
      <c:catAx>
        <c:axId val="171750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509104"/>
        <c:crosses val="autoZero"/>
        <c:auto val="1"/>
        <c:lblAlgn val="ctr"/>
        <c:lblOffset val="100"/>
        <c:noMultiLvlLbl val="0"/>
      </c:catAx>
      <c:valAx>
        <c:axId val="1717509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50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[pivot.xlsx]TOP 5 STATE!PivotTable2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STATE'!$B$1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STATE'!$A$2:$A$7</c:f>
              <c:strCache>
                <c:ptCount val="5"/>
                <c:pt idx="0">
                  <c:v>422001</c:v>
                </c:pt>
                <c:pt idx="1">
                  <c:v>411014</c:v>
                </c:pt>
                <c:pt idx="2">
                  <c:v>411001</c:v>
                </c:pt>
                <c:pt idx="3">
                  <c:v>400001</c:v>
                </c:pt>
                <c:pt idx="4">
                  <c:v>380001</c:v>
                </c:pt>
              </c:strCache>
            </c:strRef>
          </c:cat>
          <c:val>
            <c:numRef>
              <c:f>'TOP 5 STATE'!$B$2:$B$7</c:f>
              <c:numCache>
                <c:formatCode>General</c:formatCode>
                <c:ptCount val="5"/>
                <c:pt idx="0">
                  <c:v>18000</c:v>
                </c:pt>
                <c:pt idx="1">
                  <c:v>2800</c:v>
                </c:pt>
                <c:pt idx="2">
                  <c:v>25000</c:v>
                </c:pt>
                <c:pt idx="3">
                  <c:v>4500</c:v>
                </c:pt>
                <c:pt idx="4">
                  <c:v>3200</c:v>
                </c:pt>
              </c:numCache>
            </c:numRef>
          </c:val>
          <c:extLst>
            <c:ext xmlns:c16="http://schemas.microsoft.com/office/drawing/2014/chart" uri="{C3380CC4-5D6E-409C-BE32-E72D297353CC}">
              <c16:uniqueId val="{00000002-C78F-4F1A-A478-CD64B6F7DC63}"/>
            </c:ext>
          </c:extLst>
        </c:ser>
        <c:dLbls>
          <c:dLblPos val="outEnd"/>
          <c:showLegendKey val="0"/>
          <c:showVal val="1"/>
          <c:showCatName val="0"/>
          <c:showSerName val="0"/>
          <c:showPercent val="0"/>
          <c:showBubbleSize val="0"/>
        </c:dLbls>
        <c:gapWidth val="219"/>
        <c:axId val="1643617408"/>
        <c:axId val="1643619328"/>
      </c:barChart>
      <c:catAx>
        <c:axId val="16436174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619328"/>
        <c:crosses val="autoZero"/>
        <c:auto val="1"/>
        <c:lblAlgn val="ctr"/>
        <c:lblOffset val="100"/>
        <c:noMultiLvlLbl val="0"/>
      </c:catAx>
      <c:valAx>
        <c:axId val="16436193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61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[pivot.xlsx]GENDER!PivotTable3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pieChart>
        <c:varyColors val="1"/>
        <c:ser>
          <c:idx val="0"/>
          <c:order val="0"/>
          <c:tx>
            <c:strRef>
              <c:f>GENDER!$B$1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716-4837-8B4F-AA55C525DD89}"/>
              </c:ext>
            </c:extLst>
          </c:dPt>
          <c:dPt>
            <c:idx val="1"/>
            <c:bubble3D val="0"/>
            <c:spPr>
              <a:solidFill>
                <a:schemeClr val="accent2"/>
              </a:solidFill>
              <a:ln>
                <a:noFill/>
              </a:ln>
              <a:effectLst/>
            </c:spPr>
            <c:extLst>
              <c:ext xmlns:c16="http://schemas.microsoft.com/office/drawing/2014/chart" uri="{C3380CC4-5D6E-409C-BE32-E72D297353CC}">
                <c16:uniqueId val="{00000003-9716-4837-8B4F-AA55C525DD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GENDER!$A$2:$A$4</c:f>
              <c:strCache>
                <c:ptCount val="2"/>
                <c:pt idx="0">
                  <c:v>Female</c:v>
                </c:pt>
                <c:pt idx="1">
                  <c:v>Male</c:v>
                </c:pt>
              </c:strCache>
            </c:strRef>
          </c:cat>
          <c:val>
            <c:numRef>
              <c:f>GENDER!$B$2:$B$4</c:f>
              <c:numCache>
                <c:formatCode>0.00%</c:formatCode>
                <c:ptCount val="2"/>
                <c:pt idx="0">
                  <c:v>0.42857142857142855</c:v>
                </c:pt>
                <c:pt idx="1">
                  <c:v>0.5714285714285714</c:v>
                </c:pt>
              </c:numCache>
            </c:numRef>
          </c:val>
          <c:extLst>
            <c:ext xmlns:c16="http://schemas.microsoft.com/office/drawing/2014/chart" uri="{C3380CC4-5D6E-409C-BE32-E72D297353CC}">
              <c16:uniqueId val="{00000000-1D22-443A-AA02-9E3217805A2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[pivot.xlsx]ORDER STATUS!PivotTable5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'ORDER STATUS'!$B$1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0EC-4CC7-88E4-CFFA316A63E9}"/>
              </c:ext>
            </c:extLst>
          </c:dPt>
          <c:dPt>
            <c:idx val="1"/>
            <c:bubble3D val="0"/>
            <c:spPr>
              <a:solidFill>
                <a:schemeClr val="accent2"/>
              </a:solidFill>
              <a:ln>
                <a:noFill/>
              </a:ln>
              <a:effectLst/>
            </c:spPr>
            <c:extLst>
              <c:ext xmlns:c16="http://schemas.microsoft.com/office/drawing/2014/chart" uri="{C3380CC4-5D6E-409C-BE32-E72D297353CC}">
                <c16:uniqueId val="{00000003-E0EC-4CC7-88E4-CFFA316A63E9}"/>
              </c:ext>
            </c:extLst>
          </c:dPt>
          <c:dPt>
            <c:idx val="2"/>
            <c:bubble3D val="0"/>
            <c:spPr>
              <a:solidFill>
                <a:schemeClr val="accent3"/>
              </a:solidFill>
              <a:ln>
                <a:noFill/>
              </a:ln>
              <a:effectLst/>
            </c:spPr>
            <c:extLst>
              <c:ext xmlns:c16="http://schemas.microsoft.com/office/drawing/2014/chart" uri="{C3380CC4-5D6E-409C-BE32-E72D297353CC}">
                <c16:uniqueId val="{00000005-E0EC-4CC7-88E4-CFFA316A63E9}"/>
              </c:ext>
            </c:extLst>
          </c:dPt>
          <c:dPt>
            <c:idx val="3"/>
            <c:bubble3D val="0"/>
            <c:spPr>
              <a:solidFill>
                <a:schemeClr val="accent4"/>
              </a:solidFill>
              <a:ln>
                <a:noFill/>
              </a:ln>
              <a:effectLst/>
            </c:spPr>
            <c:extLst>
              <c:ext xmlns:c16="http://schemas.microsoft.com/office/drawing/2014/chart" uri="{C3380CC4-5D6E-409C-BE32-E72D297353CC}">
                <c16:uniqueId val="{00000007-E0EC-4CC7-88E4-CFFA316A63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STATUS'!$A$2:$A$6</c:f>
              <c:strCache>
                <c:ptCount val="4"/>
                <c:pt idx="0">
                  <c:v>Cancelled</c:v>
                </c:pt>
                <c:pt idx="1">
                  <c:v>Delivered</c:v>
                </c:pt>
                <c:pt idx="2">
                  <c:v>Returned</c:v>
                </c:pt>
                <c:pt idx="3">
                  <c:v>Shipped</c:v>
                </c:pt>
              </c:strCache>
            </c:strRef>
          </c:cat>
          <c:val>
            <c:numRef>
              <c:f>'ORDER STATUS'!$B$2:$B$6</c:f>
              <c:numCache>
                <c:formatCode>0.00%</c:formatCode>
                <c:ptCount val="4"/>
                <c:pt idx="0">
                  <c:v>0.14285714285714285</c:v>
                </c:pt>
                <c:pt idx="1">
                  <c:v>0.5714285714285714</c:v>
                </c:pt>
                <c:pt idx="2">
                  <c:v>0.14285714285714285</c:v>
                </c:pt>
                <c:pt idx="3">
                  <c:v>0.14285714285714285</c:v>
                </c:pt>
              </c:numCache>
            </c:numRef>
          </c:val>
          <c:extLst>
            <c:ext xmlns:c16="http://schemas.microsoft.com/office/drawing/2014/chart" uri="{C3380CC4-5D6E-409C-BE32-E72D297353CC}">
              <c16:uniqueId val="{00000000-E73E-44FC-B39E-D73322C8C16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[pivot.xlsx]Sheet9!PivotTable21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Sheet9!$B$1</c:f>
              <c:strCache>
                <c:ptCount val="1"/>
                <c:pt idx="0">
                  <c:v>Sum of Amount</c:v>
                </c:pt>
              </c:strCache>
            </c:strRef>
          </c:tx>
          <c:spPr>
            <a:solidFill>
              <a:schemeClr val="accent1"/>
            </a:solidFill>
            <a:ln>
              <a:noFill/>
            </a:ln>
            <a:effectLst/>
          </c:spPr>
          <c:invertIfNegative val="0"/>
          <c:cat>
            <c:strRef>
              <c:f>Sheet9!$A$2:$A$3</c:f>
              <c:strCache>
                <c:ptCount val="1"/>
                <c:pt idx="0">
                  <c:v>Jun</c:v>
                </c:pt>
              </c:strCache>
            </c:strRef>
          </c:cat>
          <c:val>
            <c:numRef>
              <c:f>Sheet9!$B$2:$B$3</c:f>
              <c:numCache>
                <c:formatCode>General</c:formatCode>
                <c:ptCount val="1"/>
                <c:pt idx="0">
                  <c:v>57500</c:v>
                </c:pt>
              </c:numCache>
            </c:numRef>
          </c:val>
          <c:extLst>
            <c:ext xmlns:c16="http://schemas.microsoft.com/office/drawing/2014/chart" uri="{C3380CC4-5D6E-409C-BE32-E72D297353CC}">
              <c16:uniqueId val="{00000000-03DE-4139-811A-6C52037E9780}"/>
            </c:ext>
          </c:extLst>
        </c:ser>
        <c:dLbls>
          <c:showLegendKey val="0"/>
          <c:showVal val="0"/>
          <c:showCatName val="0"/>
          <c:showSerName val="0"/>
          <c:showPercent val="0"/>
          <c:showBubbleSize val="0"/>
        </c:dLbls>
        <c:gapWidth val="219"/>
        <c:axId val="1766609504"/>
        <c:axId val="1766605664"/>
      </c:barChart>
      <c:lineChart>
        <c:grouping val="standard"/>
        <c:varyColors val="0"/>
        <c:ser>
          <c:idx val="1"/>
          <c:order val="1"/>
          <c:tx>
            <c:strRef>
              <c:f>Sheet9!$C$1</c:f>
              <c:strCache>
                <c:ptCount val="1"/>
                <c:pt idx="0">
                  <c:v>Count of Order ID</c:v>
                </c:pt>
              </c:strCache>
            </c:strRef>
          </c:tx>
          <c:spPr>
            <a:ln w="28575" cap="rnd">
              <a:solidFill>
                <a:schemeClr val="accent2"/>
              </a:solidFill>
              <a:round/>
            </a:ln>
            <a:effectLst/>
          </c:spPr>
          <c:marker>
            <c:symbol val="none"/>
          </c:marker>
          <c:cat>
            <c:strRef>
              <c:f>Sheet9!$A$2:$A$3</c:f>
              <c:strCache>
                <c:ptCount val="1"/>
                <c:pt idx="0">
                  <c:v>Jun</c:v>
                </c:pt>
              </c:strCache>
            </c:strRef>
          </c:cat>
          <c:val>
            <c:numRef>
              <c:f>Sheet9!$C$2:$C$3</c:f>
              <c:numCache>
                <c:formatCode>General</c:formatCode>
                <c:ptCount val="1"/>
                <c:pt idx="0">
                  <c:v>7</c:v>
                </c:pt>
              </c:numCache>
            </c:numRef>
          </c:val>
          <c:smooth val="0"/>
          <c:extLst>
            <c:ext xmlns:c16="http://schemas.microsoft.com/office/drawing/2014/chart" uri="{C3380CC4-5D6E-409C-BE32-E72D297353CC}">
              <c16:uniqueId val="{00000002-03DE-4139-811A-6C52037E9780}"/>
            </c:ext>
          </c:extLst>
        </c:ser>
        <c:dLbls>
          <c:showLegendKey val="0"/>
          <c:showVal val="0"/>
          <c:showCatName val="0"/>
          <c:showSerName val="0"/>
          <c:showPercent val="0"/>
          <c:showBubbleSize val="0"/>
        </c:dLbls>
        <c:marker val="1"/>
        <c:smooth val="0"/>
        <c:axId val="1766609504"/>
        <c:axId val="1766605664"/>
      </c:lineChart>
      <c:catAx>
        <c:axId val="176660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05664"/>
        <c:crosses val="autoZero"/>
        <c:auto val="1"/>
        <c:lblAlgn val="ctr"/>
        <c:lblOffset val="100"/>
        <c:noMultiLvlLbl val="0"/>
      </c:catAx>
      <c:valAx>
        <c:axId val="176660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0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60960</xdr:colOff>
      <xdr:row>7</xdr:row>
      <xdr:rowOff>0</xdr:rowOff>
    </xdr:from>
    <xdr:to>
      <xdr:col>11</xdr:col>
      <xdr:colOff>365760</xdr:colOff>
      <xdr:row>22</xdr:row>
      <xdr:rowOff>0</xdr:rowOff>
    </xdr:to>
    <xdr:graphicFrame macro="">
      <xdr:nvGraphicFramePr>
        <xdr:cNvPr id="2" name="Chart 1">
          <a:extLst>
            <a:ext uri="{FF2B5EF4-FFF2-40B4-BE49-F238E27FC236}">
              <a16:creationId xmlns:a16="http://schemas.microsoft.com/office/drawing/2014/main" id="{02DBFE12-1886-ADB2-A5CC-3541C2332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182880</xdr:colOff>
      <xdr:row>1</xdr:row>
      <xdr:rowOff>0</xdr:rowOff>
    </xdr:from>
    <xdr:to>
      <xdr:col>7</xdr:col>
      <xdr:colOff>487680</xdr:colOff>
      <xdr:row>16</xdr:row>
      <xdr:rowOff>0</xdr:rowOff>
    </xdr:to>
    <xdr:graphicFrame macro="">
      <xdr:nvGraphicFramePr>
        <xdr:cNvPr id="2" name="Chart 1">
          <a:extLst>
            <a:ext uri="{FF2B5EF4-FFF2-40B4-BE49-F238E27FC236}">
              <a16:creationId xmlns:a16="http://schemas.microsoft.com/office/drawing/2014/main" id="{B706A1AA-2C50-4689-94BE-A9A0C336C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0</xdr:rowOff>
    </xdr:from>
    <xdr:to>
      <xdr:col>15</xdr:col>
      <xdr:colOff>304800</xdr:colOff>
      <xdr:row>16</xdr:row>
      <xdr:rowOff>0</xdr:rowOff>
    </xdr:to>
    <xdr:graphicFrame macro="">
      <xdr:nvGraphicFramePr>
        <xdr:cNvPr id="3" name="Chart 2">
          <a:extLst>
            <a:ext uri="{FF2B5EF4-FFF2-40B4-BE49-F238E27FC236}">
              <a16:creationId xmlns:a16="http://schemas.microsoft.com/office/drawing/2014/main" id="{0CA201AE-5AC4-4CC2-A4FC-436FCF3F1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373380</xdr:colOff>
      <xdr:row>0</xdr:row>
      <xdr:rowOff>167640</xdr:rowOff>
    </xdr:from>
    <xdr:to>
      <xdr:col>23</xdr:col>
      <xdr:colOff>68580</xdr:colOff>
      <xdr:row>15</xdr:row>
      <xdr:rowOff>167640</xdr:rowOff>
    </xdr:to>
    <xdr:graphicFrame macro="">
      <xdr:nvGraphicFramePr>
        <xdr:cNvPr id="4" name="Chart 3">
          <a:extLst>
            <a:ext uri="{FF2B5EF4-FFF2-40B4-BE49-F238E27FC236}">
              <a16:creationId xmlns:a16="http://schemas.microsoft.com/office/drawing/2014/main" id="{92BBF1EC-681F-4914-AC8B-B4BE2A95C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167640</xdr:colOff>
      <xdr:row>16</xdr:row>
      <xdr:rowOff>99060</xdr:rowOff>
    </xdr:from>
    <xdr:to>
      <xdr:col>7</xdr:col>
      <xdr:colOff>472440</xdr:colOff>
      <xdr:row>31</xdr:row>
      <xdr:rowOff>99060</xdr:rowOff>
    </xdr:to>
    <xdr:graphicFrame macro="">
      <xdr:nvGraphicFramePr>
        <xdr:cNvPr id="5" name="Chart 4">
          <a:extLst>
            <a:ext uri="{FF2B5EF4-FFF2-40B4-BE49-F238E27FC236}">
              <a16:creationId xmlns:a16="http://schemas.microsoft.com/office/drawing/2014/main" id="{8E97F7C8-02E6-4444-A37A-0600DCE04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22860</xdr:colOff>
      <xdr:row>16</xdr:row>
      <xdr:rowOff>99060</xdr:rowOff>
    </xdr:from>
    <xdr:to>
      <xdr:col>15</xdr:col>
      <xdr:colOff>327660</xdr:colOff>
      <xdr:row>31</xdr:row>
      <xdr:rowOff>99060</xdr:rowOff>
    </xdr:to>
    <xdr:graphicFrame macro="">
      <xdr:nvGraphicFramePr>
        <xdr:cNvPr id="6" name="Chart 5">
          <a:extLst>
            <a:ext uri="{FF2B5EF4-FFF2-40B4-BE49-F238E27FC236}">
              <a16:creationId xmlns:a16="http://schemas.microsoft.com/office/drawing/2014/main" id="{4EF168E4-80AD-486E-89D0-7D27C02E9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403860</xdr:colOff>
      <xdr:row>16</xdr:row>
      <xdr:rowOff>99060</xdr:rowOff>
    </xdr:from>
    <xdr:to>
      <xdr:col>23</xdr:col>
      <xdr:colOff>99060</xdr:colOff>
      <xdr:row>31</xdr:row>
      <xdr:rowOff>99060</xdr:rowOff>
    </xdr:to>
    <xdr:graphicFrame macro="">
      <xdr:nvGraphicFramePr>
        <xdr:cNvPr id="7" name="Chart 6">
          <a:extLst>
            <a:ext uri="{FF2B5EF4-FFF2-40B4-BE49-F238E27FC236}">
              <a16:creationId xmlns:a16="http://schemas.microsoft.com/office/drawing/2014/main" id="{7F12124F-EBFA-4353-869B-10C368B9A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160020</xdr:colOff>
      <xdr:row>32</xdr:row>
      <xdr:rowOff>7620</xdr:rowOff>
    </xdr:from>
    <xdr:to>
      <xdr:col>7</xdr:col>
      <xdr:colOff>464820</xdr:colOff>
      <xdr:row>47</xdr:row>
      <xdr:rowOff>7620</xdr:rowOff>
    </xdr:to>
    <xdr:graphicFrame macro="">
      <xdr:nvGraphicFramePr>
        <xdr:cNvPr id="9" name="Chart 8">
          <a:extLst>
            <a:ext uri="{FF2B5EF4-FFF2-40B4-BE49-F238E27FC236}">
              <a16:creationId xmlns:a16="http://schemas.microsoft.com/office/drawing/2014/main" id="{F66F0243-5C6F-4BEB-A300-AE790F3B7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1</xdr:row>
      <xdr:rowOff>89538</xdr:rowOff>
    </xdr:from>
    <xdr:to>
      <xdr:col>2</xdr:col>
      <xdr:colOff>117835</xdr:colOff>
      <xdr:row>12</xdr:row>
      <xdr:rowOff>172825</xdr:rowOff>
    </xdr:to>
    <mc:AlternateContent xmlns:mc="http://schemas.openxmlformats.org/markup-compatibility/2006">
      <mc:Choice xmlns:a14="http://schemas.microsoft.com/office/drawing/2010/main" Requires="a14">
        <xdr:graphicFrame macro="">
          <xdr:nvGraphicFramePr>
            <xdr:cNvPr id="13" name="Sr No">
              <a:extLst>
                <a:ext uri="{FF2B5EF4-FFF2-40B4-BE49-F238E27FC236}">
                  <a16:creationId xmlns:a16="http://schemas.microsoft.com/office/drawing/2014/main" id="{F915330F-AACD-E6AC-BD3F-ECEA474A6A3C}"/>
                </a:ext>
              </a:extLst>
            </xdr:cNvPr>
            <xdr:cNvGraphicFramePr/>
          </xdr:nvGraphicFramePr>
          <xdr:xfrm>
            <a:off x="0" y="0"/>
            <a:ext cx="0" cy="0"/>
          </xdr:xfrm>
          <a:graphic>
            <a:graphicData uri="http://schemas.microsoft.com/office/drawing/2010/slicer">
              <sle:slicer xmlns:sle="http://schemas.microsoft.com/office/drawing/2010/slicer" name="Sr No"/>
            </a:graphicData>
          </a:graphic>
        </xdr:graphicFrame>
      </mc:Choice>
      <mc:Fallback>
        <xdr:sp macro="" textlink="">
          <xdr:nvSpPr>
            <xdr:cNvPr id="0" name=""/>
            <xdr:cNvSpPr>
              <a:spLocks noTextEdit="1"/>
            </xdr:cNvSpPr>
          </xdr:nvSpPr>
          <xdr:spPr>
            <a:xfrm>
              <a:off x="0" y="270218"/>
              <a:ext cx="1343320" cy="2070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6</xdr:row>
      <xdr:rowOff>68580</xdr:rowOff>
    </xdr:from>
    <xdr:to>
      <xdr:col>11</xdr:col>
      <xdr:colOff>38100</xdr:colOff>
      <xdr:row>21</xdr:row>
      <xdr:rowOff>68580</xdr:rowOff>
    </xdr:to>
    <xdr:graphicFrame macro="">
      <xdr:nvGraphicFramePr>
        <xdr:cNvPr id="2" name="Chart 1">
          <a:extLst>
            <a:ext uri="{FF2B5EF4-FFF2-40B4-BE49-F238E27FC236}">
              <a16:creationId xmlns:a16="http://schemas.microsoft.com/office/drawing/2014/main" id="{E72D392B-F92A-8940-A618-6C88783401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45720</xdr:colOff>
      <xdr:row>6</xdr:row>
      <xdr:rowOff>167640</xdr:rowOff>
    </xdr:from>
    <xdr:to>
      <xdr:col>11</xdr:col>
      <xdr:colOff>350520</xdr:colOff>
      <xdr:row>21</xdr:row>
      <xdr:rowOff>167640</xdr:rowOff>
    </xdr:to>
    <xdr:graphicFrame macro="">
      <xdr:nvGraphicFramePr>
        <xdr:cNvPr id="2" name="Chart 1">
          <a:extLst>
            <a:ext uri="{FF2B5EF4-FFF2-40B4-BE49-F238E27FC236}">
              <a16:creationId xmlns:a16="http://schemas.microsoft.com/office/drawing/2014/main" id="{D52DEAAC-5704-4C2F-029A-A56A17C36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312420</xdr:colOff>
      <xdr:row>5</xdr:row>
      <xdr:rowOff>137160</xdr:rowOff>
    </xdr:from>
    <xdr:to>
      <xdr:col>11</xdr:col>
      <xdr:colOff>7620</xdr:colOff>
      <xdr:row>20</xdr:row>
      <xdr:rowOff>137160</xdr:rowOff>
    </xdr:to>
    <xdr:graphicFrame macro="">
      <xdr:nvGraphicFramePr>
        <xdr:cNvPr id="2" name="Chart 1">
          <a:extLst>
            <a:ext uri="{FF2B5EF4-FFF2-40B4-BE49-F238E27FC236}">
              <a16:creationId xmlns:a16="http://schemas.microsoft.com/office/drawing/2014/main" id="{E3EE951D-C527-716C-B61C-2712A2D2A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495300</xdr:colOff>
      <xdr:row>4</xdr:row>
      <xdr:rowOff>76200</xdr:rowOff>
    </xdr:from>
    <xdr:to>
      <xdr:col>10</xdr:col>
      <xdr:colOff>190500</xdr:colOff>
      <xdr:row>19</xdr:row>
      <xdr:rowOff>76200</xdr:rowOff>
    </xdr:to>
    <xdr:graphicFrame macro="">
      <xdr:nvGraphicFramePr>
        <xdr:cNvPr id="2" name="Chart 1">
          <a:extLst>
            <a:ext uri="{FF2B5EF4-FFF2-40B4-BE49-F238E27FC236}">
              <a16:creationId xmlns:a16="http://schemas.microsoft.com/office/drawing/2014/main" id="{3B839F14-D5D4-8100-93E4-B3F2FD285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525780</xdr:colOff>
      <xdr:row>2</xdr:row>
      <xdr:rowOff>114300</xdr:rowOff>
    </xdr:from>
    <xdr:to>
      <xdr:col>10</xdr:col>
      <xdr:colOff>220980</xdr:colOff>
      <xdr:row>17</xdr:row>
      <xdr:rowOff>114300</xdr:rowOff>
    </xdr:to>
    <xdr:graphicFrame macro="">
      <xdr:nvGraphicFramePr>
        <xdr:cNvPr id="2" name="Chart 1">
          <a:extLst>
            <a:ext uri="{FF2B5EF4-FFF2-40B4-BE49-F238E27FC236}">
              <a16:creationId xmlns:a16="http://schemas.microsoft.com/office/drawing/2014/main" id="{BCA1308D-879C-5D74-1D88-98EE1B9A0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502920</xdr:colOff>
      <xdr:row>5</xdr:row>
      <xdr:rowOff>106680</xdr:rowOff>
    </xdr:from>
    <xdr:to>
      <xdr:col>11</xdr:col>
      <xdr:colOff>198120</xdr:colOff>
      <xdr:row>20</xdr:row>
      <xdr:rowOff>106680</xdr:rowOff>
    </xdr:to>
    <xdr:graphicFrame macro="">
      <xdr:nvGraphicFramePr>
        <xdr:cNvPr id="2" name="Chart 1">
          <a:extLst>
            <a:ext uri="{FF2B5EF4-FFF2-40B4-BE49-F238E27FC236}">
              <a16:creationId xmlns:a16="http://schemas.microsoft.com/office/drawing/2014/main" id="{37F43442-95B4-9528-26E5-27ABC79CA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DEVKAR" refreshedDate="46185.483775115739" createdVersion="8" refreshedVersion="8" minRefreshableVersion="3" recordCount="10" xr:uid="{BB986ABB-6459-478D-873C-866DE547963A}">
  <cacheSource type="worksheet">
    <worksheetSource ref="B36:Q46" sheet="DATA"/>
  </cacheSource>
  <cacheFields count="16">
    <cacheField name="Sr No" numFmtId="0">
      <sharedItems containsSemiMixedTypes="0" containsString="0" containsNumber="1" containsInteger="1" minValue="1" maxValue="10" count="10">
        <n v="1"/>
        <n v="2"/>
        <n v="3"/>
        <n v="4"/>
        <n v="5"/>
        <n v="6"/>
        <n v="7"/>
        <n v="8"/>
        <n v="9"/>
        <n v="10"/>
      </sharedItems>
    </cacheField>
    <cacheField name="Order ID" numFmtId="0">
      <sharedItems count="10">
        <s v="ORD1001"/>
        <s v="ORD1002"/>
        <s v="ORD1003"/>
        <s v="ORD1004"/>
        <s v="ORD1005"/>
        <s v="ORD1006"/>
        <s v="ORD1007"/>
        <s v="ORD1008"/>
        <s v="ORD1009"/>
        <s v="ORD1010"/>
      </sharedItems>
    </cacheField>
    <cacheField name="Cust ID" numFmtId="0">
      <sharedItems/>
    </cacheField>
    <cacheField name="Cust Name" numFmtId="0">
      <sharedItems/>
    </cacheField>
    <cacheField name="Gender" numFmtId="0">
      <sharedItems count="2">
        <s v="Male"/>
        <s v="Female"/>
      </sharedItems>
    </cacheField>
    <cacheField name="Age" numFmtId="0">
      <sharedItems containsSemiMixedTypes="0" containsString="0" containsNumber="1" containsInteger="1" minValue="19" maxValue="52"/>
    </cacheField>
    <cacheField name="Age Group" numFmtId="0">
      <sharedItems count="3">
        <s v="Adult"/>
        <s v="Young Adult"/>
        <s v="Senior"/>
      </sharedItems>
    </cacheField>
    <cacheField name="Date" numFmtId="14">
      <sharedItems containsSemiMixedTypes="0" containsNonDate="0" containsDate="1" containsString="0" minDate="2026-06-01T00:00:00" maxDate="2026-06-11T00:00:00" count="10">
        <d v="2026-06-01T00:00:00"/>
        <d v="2026-06-02T00:00:00"/>
        <d v="2026-06-03T00:00:00"/>
        <d v="2026-06-04T00:00:00"/>
        <d v="2026-06-05T00:00:00"/>
        <d v="2026-06-06T00:00:00"/>
        <d v="2026-06-07T00:00:00"/>
        <d v="2026-06-08T00:00:00"/>
        <d v="2026-06-09T00:00:00"/>
        <d v="2026-06-10T00:00:00"/>
      </sharedItems>
    </cacheField>
    <cacheField name="Month" numFmtId="0">
      <sharedItems count="1">
        <s v="Jun"/>
      </sharedItems>
    </cacheField>
    <cacheField name="Status" numFmtId="0">
      <sharedItems count="4">
        <s v="Delivered"/>
        <s v="Cancelled"/>
        <s v="Shipped"/>
        <s v="Returned"/>
      </sharedItems>
    </cacheField>
    <cacheField name="Channel" numFmtId="0">
      <sharedItems count="4">
        <s v="Amazon"/>
        <s v="Flipkart"/>
        <s v="Website"/>
        <s v="Myntra"/>
      </sharedItems>
    </cacheField>
    <cacheField name="Category" numFmtId="0">
      <sharedItems/>
    </cacheField>
    <cacheField name="Qty" numFmtId="0">
      <sharedItems containsSemiMixedTypes="0" containsString="0" containsNumber="1" containsInteger="1" minValue="1" maxValue="10"/>
    </cacheField>
    <cacheField name="Amount" numFmtId="0">
      <sharedItems containsSemiMixedTypes="0" containsString="0" containsNumber="1" containsInteger="1" minValue="1800" maxValue="35000"/>
    </cacheField>
    <cacheField name="Ship Date" numFmtId="0">
      <sharedItems containsNonDate="0" containsDate="1" containsString="0" containsBlank="1" minDate="2026-06-04T00:00:00" maxDate="2026-06-14T00:00:00"/>
    </cacheField>
    <cacheField name="Ship Postal Code" numFmtId="0">
      <sharedItems containsSemiMixedTypes="0" containsString="0" containsNumber="1" containsInteger="1" minValue="110001" maxValue="560001" count="10">
        <n v="411001"/>
        <n v="400001"/>
        <n v="380001"/>
        <n v="411014"/>
        <n v="422001"/>
        <n v="226001"/>
        <n v="411033"/>
        <n v="560001"/>
        <n v="110001"/>
        <n v="411045"/>
      </sharedItems>
    </cacheField>
  </cacheFields>
  <extLst>
    <ext xmlns:x14="http://schemas.microsoft.com/office/spreadsheetml/2009/9/main" uri="{725AE2AE-9491-48be-B2B4-4EB974FC3084}">
      <x14:pivotCacheDefinition pivotCacheId="2759997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DEVKAR" refreshedDate="46185.540254398147" createdVersion="8" refreshedVersion="8" minRefreshableVersion="3" recordCount="20" xr:uid="{A2D3D8BF-0005-4597-8148-91A2CC158795}">
  <cacheSource type="worksheet">
    <worksheetSource ref="A1:Q21" sheet="Sheet11"/>
  </cacheSource>
  <cacheFields count="17">
    <cacheField name="No" numFmtId="0">
      <sharedItems containsSemiMixedTypes="0" containsString="0" containsNumber="1" containsInteger="1" minValue="1" maxValue="20"/>
    </cacheField>
    <cacheField name="Order ID" numFmtId="0">
      <sharedItems count="20">
        <s v="O1001"/>
        <s v="O1002"/>
        <s v="O1003"/>
        <s v="O1004"/>
        <s v="O1005"/>
        <s v="O1006"/>
        <s v="O1007"/>
        <s v="O1008"/>
        <s v="O1009"/>
        <s v="O1010"/>
        <s v="O1011"/>
        <s v="O1012"/>
        <s v="O1013"/>
        <s v="O1014"/>
        <s v="O1015"/>
        <s v="O1016"/>
        <s v="O1017"/>
        <s v="O1018"/>
        <s v="O1019"/>
        <s v="O1020"/>
      </sharedItems>
    </cacheField>
    <cacheField name="Cust ID" numFmtId="0">
      <sharedItems/>
    </cacheField>
    <cacheField name="Name" numFmtId="0">
      <sharedItems/>
    </cacheField>
    <cacheField name="Gender" numFmtId="0">
      <sharedItems/>
    </cacheField>
    <cacheField name="Age" numFmtId="0">
      <sharedItems containsSemiMixedTypes="0" containsString="0" containsNumber="1" containsInteger="1" minValue="21" maxValue="45"/>
    </cacheField>
    <cacheField name="Age Group" numFmtId="0">
      <sharedItems/>
    </cacheField>
    <cacheField name="Order Date" numFmtId="14">
      <sharedItems containsSemiMixedTypes="0" containsNonDate="0" containsDate="1" containsString="0" minDate="2025-01-01T00:00:00" maxDate="2025-12-13T00:00:00"/>
    </cacheField>
    <cacheField name="Month" numFmtId="0">
      <sharedItems count="12">
        <s v="January"/>
        <s v="February"/>
        <s v="March"/>
        <s v="April"/>
        <s v="May"/>
        <s v="June"/>
        <s v="July"/>
        <s v="August"/>
        <s v="September"/>
        <s v="October"/>
        <s v="November"/>
        <s v="December"/>
      </sharedItems>
    </cacheField>
    <cacheField name="Status" numFmtId="0">
      <sharedItems/>
    </cacheField>
    <cacheField name="Channel" numFmtId="0">
      <sharedItems/>
    </cacheField>
    <cacheField name="Category" numFmtId="0">
      <sharedItems/>
    </cacheField>
    <cacheField name="Qty" numFmtId="0">
      <sharedItems containsSemiMixedTypes="0" containsString="0" containsNumber="1" containsInteger="1" minValue="1" maxValue="7"/>
    </cacheField>
    <cacheField name="Amount" numFmtId="0">
      <sharedItems containsSemiMixedTypes="0" containsString="0" containsNumber="1" containsInteger="1" minValue="800" maxValue="9000"/>
    </cacheField>
    <cacheField name="Delivery Date" numFmtId="14">
      <sharedItems containsSemiMixedTypes="0" containsNonDate="0" containsDate="1" containsString="0" minDate="2025-01-03T00:00:00" maxDate="2025-12-15T00:00:00"/>
    </cacheField>
    <cacheField name="SP Code" numFmtId="0">
      <sharedItems/>
    </cacheField>
    <cacheField name="State" numFmtId="0">
      <sharedItems/>
    </cacheField>
  </cacheFields>
  <extLst>
    <ext xmlns:x14="http://schemas.microsoft.com/office/spreadsheetml/2009/9/main" uri="{725AE2AE-9491-48be-B2B4-4EB974FC3084}">
      <x14:pivotCacheDefinition pivotCacheId="11384504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s v="C101"/>
    <s v="Rahul Patil"/>
    <x v="0"/>
    <n v="25"/>
    <x v="0"/>
    <x v="0"/>
    <x v="0"/>
    <x v="0"/>
    <x v="0"/>
    <s v="Electronics"/>
    <n v="2"/>
    <n v="25000"/>
    <d v="2026-06-04T00:00:00"/>
    <x v="0"/>
  </r>
  <r>
    <x v="1"/>
    <x v="1"/>
    <s v="C102"/>
    <s v="Sneha Joshi"/>
    <x v="1"/>
    <n v="32"/>
    <x v="0"/>
    <x v="1"/>
    <x v="0"/>
    <x v="0"/>
    <x v="1"/>
    <s v="Fashion"/>
    <n v="3"/>
    <n v="4500"/>
    <d v="2026-06-05T00:00:00"/>
    <x v="1"/>
  </r>
  <r>
    <x v="2"/>
    <x v="2"/>
    <s v="C103"/>
    <s v="Amit Shah"/>
    <x v="0"/>
    <n v="45"/>
    <x v="0"/>
    <x v="2"/>
    <x v="0"/>
    <x v="1"/>
    <x v="2"/>
    <s v="Home Decor"/>
    <n v="1"/>
    <n v="3200"/>
    <m/>
    <x v="2"/>
  </r>
  <r>
    <x v="3"/>
    <x v="3"/>
    <s v="C104"/>
    <s v="Priya Deshmukh"/>
    <x v="1"/>
    <n v="22"/>
    <x v="1"/>
    <x v="3"/>
    <x v="0"/>
    <x v="0"/>
    <x v="0"/>
    <s v="Beauty"/>
    <n v="5"/>
    <n v="2800"/>
    <d v="2026-06-07T00:00:00"/>
    <x v="3"/>
  </r>
  <r>
    <x v="4"/>
    <x v="4"/>
    <s v="C105"/>
    <s v="Rohit Kulkarni"/>
    <x v="0"/>
    <n v="29"/>
    <x v="0"/>
    <x v="4"/>
    <x v="0"/>
    <x v="2"/>
    <x v="1"/>
    <s v="Electronics"/>
    <n v="1"/>
    <n v="18000"/>
    <d v="2026-06-08T00:00:00"/>
    <x v="4"/>
  </r>
  <r>
    <x v="5"/>
    <x v="5"/>
    <s v="C106"/>
    <s v="Pooja Singh"/>
    <x v="1"/>
    <n v="38"/>
    <x v="0"/>
    <x v="5"/>
    <x v="0"/>
    <x v="0"/>
    <x v="2"/>
    <s v="Grocery"/>
    <n v="10"/>
    <n v="2200"/>
    <d v="2026-06-08T00:00:00"/>
    <x v="5"/>
  </r>
  <r>
    <x v="6"/>
    <x v="6"/>
    <s v="C107"/>
    <s v="Akash More"/>
    <x v="0"/>
    <n v="19"/>
    <x v="1"/>
    <x v="6"/>
    <x v="0"/>
    <x v="3"/>
    <x v="0"/>
    <s v="Fashion"/>
    <n v="2"/>
    <n v="1800"/>
    <d v="2026-06-10T00:00:00"/>
    <x v="6"/>
  </r>
  <r>
    <x v="7"/>
    <x v="7"/>
    <s v="C108"/>
    <s v="Neha Verma"/>
    <x v="1"/>
    <n v="27"/>
    <x v="0"/>
    <x v="7"/>
    <x v="0"/>
    <x v="0"/>
    <x v="3"/>
    <s v="Fashion"/>
    <n v="4"/>
    <n v="6200"/>
    <d v="2026-06-10T00:00:00"/>
    <x v="7"/>
  </r>
  <r>
    <x v="8"/>
    <x v="8"/>
    <s v="C109"/>
    <s v="Karan Gupta"/>
    <x v="0"/>
    <n v="52"/>
    <x v="2"/>
    <x v="8"/>
    <x v="0"/>
    <x v="2"/>
    <x v="2"/>
    <s v="Home Decor"/>
    <n v="2"/>
    <n v="5400"/>
    <d v="2026-06-12T00:00:00"/>
    <x v="8"/>
  </r>
  <r>
    <x v="9"/>
    <x v="9"/>
    <s v="C110"/>
    <s v="Anjali Pawar"/>
    <x v="1"/>
    <n v="35"/>
    <x v="0"/>
    <x v="9"/>
    <x v="0"/>
    <x v="0"/>
    <x v="0"/>
    <s v="Electronics"/>
    <n v="1"/>
    <n v="35000"/>
    <d v="2026-06-13T00:00:00"/>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x v="0"/>
    <s v="C001"/>
    <s v="Rahul Patil"/>
    <s v="M"/>
    <n v="22"/>
    <s v="18-25"/>
    <d v="2025-01-01T00:00:00"/>
    <x v="0"/>
    <s v="Delivered"/>
    <s v="Online"/>
    <s v="Electronics"/>
    <n v="2"/>
    <n v="1200"/>
    <d v="2025-01-03T00:00:00"/>
    <s v="SP01"/>
    <s v="Maharashtra"/>
  </r>
  <r>
    <n v="2"/>
    <x v="1"/>
    <s v="C002"/>
    <s v="Sneha Kulkarni"/>
    <s v="F"/>
    <n v="28"/>
    <s v="26-35"/>
    <d v="2025-02-02T00:00:00"/>
    <x v="1"/>
    <s v="Pending"/>
    <s v="Store"/>
    <s v="Fashion"/>
    <n v="1"/>
    <n v="800"/>
    <d v="2025-02-04T00:00:00"/>
    <s v="SP02"/>
    <s v="Karnataka"/>
  </r>
  <r>
    <n v="3"/>
    <x v="2"/>
    <s v="C003"/>
    <s v="Amit Deshmukh"/>
    <s v="M"/>
    <n v="31"/>
    <s v="26-35"/>
    <d v="2025-03-03T00:00:00"/>
    <x v="2"/>
    <s v="Delivered"/>
    <s v="Online"/>
    <s v="Grocery"/>
    <n v="5"/>
    <n v="1500"/>
    <d v="2025-03-05T00:00:00"/>
    <s v="SP03"/>
    <s v="Gujarat"/>
  </r>
  <r>
    <n v="4"/>
    <x v="3"/>
    <s v="C004"/>
    <s v="Pooja Sharma"/>
    <s v="F"/>
    <n v="24"/>
    <s v="18-25"/>
    <d v="2025-04-04T00:00:00"/>
    <x v="3"/>
    <s v="Cancelled"/>
    <s v="Online"/>
    <s v="Beauty"/>
    <n v="3"/>
    <n v="900"/>
    <d v="2025-04-06T00:00:00"/>
    <s v="SP01"/>
    <s v="Delhi"/>
  </r>
  <r>
    <n v="5"/>
    <x v="4"/>
    <s v="C005"/>
    <s v="Vikram Joshi"/>
    <s v="M"/>
    <n v="40"/>
    <s v="36-45"/>
    <d v="2025-05-05T00:00:00"/>
    <x v="4"/>
    <s v="Delivered"/>
    <s v="Store"/>
    <s v="Electronics"/>
    <n v="1"/>
    <n v="5000"/>
    <d v="2025-05-07T00:00:00"/>
    <s v="SP04"/>
    <s v="Maharashtra"/>
  </r>
  <r>
    <n v="6"/>
    <x v="5"/>
    <s v="C006"/>
    <s v="Neha More"/>
    <s v="F"/>
    <n v="27"/>
    <s v="26-35"/>
    <d v="2025-06-06T00:00:00"/>
    <x v="5"/>
    <s v="Delivered"/>
    <s v="Online"/>
    <s v="Fashion"/>
    <n v="2"/>
    <n v="1800"/>
    <d v="2025-06-08T00:00:00"/>
    <s v="SP02"/>
    <s v="Telangana"/>
  </r>
  <r>
    <n v="7"/>
    <x v="6"/>
    <s v="C007"/>
    <s v="Sagar Naik"/>
    <s v="M"/>
    <n v="23"/>
    <s v="18-25"/>
    <d v="2025-07-07T00:00:00"/>
    <x v="6"/>
    <s v="Pending"/>
    <s v="Online"/>
    <s v="Sports"/>
    <n v="4"/>
    <n v="2200"/>
    <d v="2025-07-09T00:00:00"/>
    <s v="SP03"/>
    <s v="Goa"/>
  </r>
  <r>
    <n v="8"/>
    <x v="7"/>
    <s v="C008"/>
    <s v="Priya Iyer"/>
    <s v="F"/>
    <n v="34"/>
    <s v="26-35"/>
    <d v="2025-08-08T00:00:00"/>
    <x v="7"/>
    <s v="Delivered"/>
    <s v="Store"/>
    <s v="Grocery"/>
    <n v="6"/>
    <n v="1300"/>
    <d v="2025-08-10T00:00:00"/>
    <s v="SP01"/>
    <s v="Tamil Nadu"/>
  </r>
  <r>
    <n v="9"/>
    <x v="8"/>
    <s v="C009"/>
    <s v="Rohan Mehta"/>
    <s v="M"/>
    <n v="29"/>
    <s v="26-35"/>
    <d v="2025-09-09T00:00:00"/>
    <x v="8"/>
    <s v="Delivered"/>
    <s v="Online"/>
    <s v="Electronics"/>
    <n v="1"/>
    <n v="7500"/>
    <d v="2025-09-11T00:00:00"/>
    <s v="SP05"/>
    <s v="Maharashtra"/>
  </r>
  <r>
    <n v="10"/>
    <x v="9"/>
    <s v="C010"/>
    <s v="Aishwarya Kulkarni"/>
    <s v="F"/>
    <n v="21"/>
    <s v="18-25"/>
    <d v="2025-10-10T00:00:00"/>
    <x v="9"/>
    <s v="Pending"/>
    <s v="Online"/>
    <s v="Beauty"/>
    <n v="2"/>
    <n v="1100"/>
    <d v="2025-10-12T00:00:00"/>
    <s v="SP02"/>
    <s v="Karnataka"/>
  </r>
  <r>
    <n v="11"/>
    <x v="10"/>
    <s v="C011"/>
    <s v="Karan Desai"/>
    <s v="M"/>
    <n v="38"/>
    <s v="36-45"/>
    <d v="2025-11-11T00:00:00"/>
    <x v="10"/>
    <s v="Delivered"/>
    <s v="Store"/>
    <s v="Fashion"/>
    <n v="3"/>
    <n v="2400"/>
    <d v="2025-11-13T00:00:00"/>
    <s v="SP03"/>
    <s v="Gujarat"/>
  </r>
  <r>
    <n v="12"/>
    <x v="11"/>
    <s v="C012"/>
    <s v="Anjali Pawar"/>
    <s v="F"/>
    <n v="26"/>
    <s v="26-35"/>
    <d v="2025-12-12T00:00:00"/>
    <x v="11"/>
    <s v="Delivered"/>
    <s v="Online"/>
    <s v="Grocery"/>
    <n v="5"/>
    <n v="1600"/>
    <d v="2025-12-14T00:00:00"/>
    <s v="SP04"/>
    <s v="Maharashtra"/>
  </r>
  <r>
    <n v="13"/>
    <x v="12"/>
    <s v="C013"/>
    <s v="Mohit Kulkarni"/>
    <s v="M"/>
    <n v="32"/>
    <s v="26-35"/>
    <d v="2025-01-13T00:00:00"/>
    <x v="0"/>
    <s v="Cancelled"/>
    <s v="Online"/>
    <s v="Sports"/>
    <n v="2"/>
    <n v="900"/>
    <d v="2025-01-15T00:00:00"/>
    <s v="SP01"/>
    <s v="Delhi"/>
  </r>
  <r>
    <n v="14"/>
    <x v="13"/>
    <s v="C014"/>
    <s v="Riya Shah"/>
    <s v="F"/>
    <n v="30"/>
    <s v="26-35"/>
    <d v="2025-02-14T00:00:00"/>
    <x v="1"/>
    <s v="Delivered"/>
    <s v="Store"/>
    <s v="Electronics"/>
    <n v="1"/>
    <n v="6000"/>
    <d v="2025-02-16T00:00:00"/>
    <s v="SP02"/>
    <s v="Rajasthan"/>
  </r>
  <r>
    <n v="15"/>
    <x v="14"/>
    <s v="C015"/>
    <s v="Nikhil Patil"/>
    <s v="M"/>
    <n v="25"/>
    <s v="18-25"/>
    <d v="2025-03-15T00:00:00"/>
    <x v="2"/>
    <s v="Pending"/>
    <s v="Online"/>
    <s v="Fashion"/>
    <n v="4"/>
    <n v="2000"/>
    <d v="2025-03-17T00:00:00"/>
    <s v="SP05"/>
    <s v="Maharashtra"/>
  </r>
  <r>
    <n v="16"/>
    <x v="15"/>
    <s v="C016"/>
    <s v="Shruti Naik"/>
    <s v="F"/>
    <n v="33"/>
    <s v="26-35"/>
    <d v="2025-04-16T00:00:00"/>
    <x v="3"/>
    <s v="Delivered"/>
    <s v="Online"/>
    <s v="Beauty"/>
    <n v="2"/>
    <n v="1400"/>
    <d v="2025-04-18T00:00:00"/>
    <s v="SP03"/>
    <s v="Goa"/>
  </r>
  <r>
    <n v="17"/>
    <x v="16"/>
    <s v="C017"/>
    <s v="Deepak Sharma"/>
    <s v="M"/>
    <n v="45"/>
    <s v="36-45"/>
    <d v="2025-05-17T00:00:00"/>
    <x v="4"/>
    <s v="Delivered"/>
    <s v="Store"/>
    <s v="Grocery"/>
    <n v="7"/>
    <n v="2500"/>
    <d v="2025-05-19T00:00:00"/>
    <s v="SP04"/>
    <s v="Karnataka"/>
  </r>
  <r>
    <n v="18"/>
    <x v="17"/>
    <s v="C018"/>
    <s v="Manisha Iyer"/>
    <s v="F"/>
    <n v="29"/>
    <s v="26-35"/>
    <d v="2025-06-18T00:00:00"/>
    <x v="5"/>
    <s v="Pending"/>
    <s v="Online"/>
    <s v="Electronics"/>
    <n v="1"/>
    <n v="9000"/>
    <d v="2025-06-20T00:00:00"/>
    <s v="SP02"/>
    <s v="Tamil Nadu"/>
  </r>
  <r>
    <n v="19"/>
    <x v="18"/>
    <s v="C019"/>
    <s v="Tushar Joshi"/>
    <s v="M"/>
    <n v="27"/>
    <s v="26-35"/>
    <d v="2025-07-19T00:00:00"/>
    <x v="6"/>
    <s v="Delivered"/>
    <s v="Online"/>
    <s v="Sports"/>
    <n v="3"/>
    <n v="2100"/>
    <d v="2025-07-21T00:00:00"/>
    <s v="SP01"/>
    <s v="Maharashtra"/>
  </r>
  <r>
    <n v="20"/>
    <x v="19"/>
    <s v="C020"/>
    <s v="Kavita Deshmukh"/>
    <s v="F"/>
    <n v="36"/>
    <s v="36-45"/>
    <d v="2025-08-20T00:00:00"/>
    <x v="7"/>
    <s v="Delivered"/>
    <s v="Store"/>
    <s v="Fashion"/>
    <n v="2"/>
    <n v="3000"/>
    <d v="2025-08-22T00:00:00"/>
    <s v="SP05"/>
    <s v="Gujara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16367B-3028-4C45-B53B-F2D9D5DCB25C}"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16">
    <pivotField showAll="0">
      <items count="11">
        <item x="0"/>
        <item x="1"/>
        <item x="2"/>
        <item x="3"/>
        <item x="4"/>
        <item x="5"/>
        <item x="6"/>
        <item h="1" x="7"/>
        <item h="1" x="8"/>
        <item h="1" x="9"/>
        <item t="default"/>
      </items>
    </pivotField>
    <pivotField dataField="1" showAll="0">
      <items count="11">
        <item x="0"/>
        <item x="1"/>
        <item x="2"/>
        <item x="3"/>
        <item x="4"/>
        <item x="5"/>
        <item x="6"/>
        <item x="7"/>
        <item x="8"/>
        <item x="9"/>
        <item t="default"/>
      </items>
    </pivotField>
    <pivotField showAll="0"/>
    <pivotField showAll="0"/>
    <pivotField showAll="0"/>
    <pivotField showAll="0"/>
    <pivotField showAll="0"/>
    <pivotField numFmtId="14" showAll="0"/>
    <pivotField showAll="0">
      <items count="2">
        <item x="0"/>
        <item t="default"/>
      </items>
    </pivotField>
    <pivotField showAll="0"/>
    <pivotField axis="axisRow" showAll="0">
      <items count="5">
        <item x="0"/>
        <item x="1"/>
        <item x="3"/>
        <item x="2"/>
        <item t="default"/>
      </items>
    </pivotField>
    <pivotField showAll="0"/>
    <pivotField showAll="0"/>
    <pivotField showAll="0"/>
    <pivotField showAll="0"/>
    <pivotField showAll="0"/>
  </pivotFields>
  <rowFields count="1">
    <field x="10"/>
  </rowFields>
  <rowItems count="4">
    <i>
      <x/>
    </i>
    <i>
      <x v="1"/>
    </i>
    <i>
      <x v="3"/>
    </i>
    <i t="grand">
      <x/>
    </i>
  </rowItems>
  <colItems count="1">
    <i/>
  </colItems>
  <dataFields count="1">
    <dataField name="Count of Order ID2" fld="1" subtotal="count" showDataAs="percentOfTotal" baseField="0" baseItem="0" numFmtId="10"/>
  </dataFields>
  <chartFormats count="10">
    <chartFormat chart="0" format="1"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0" count="1" selected="0">
            <x v="0"/>
          </reference>
        </references>
      </pivotArea>
    </chartFormat>
    <chartFormat chart="7" format="9">
      <pivotArea type="data" outline="0" fieldPosition="0">
        <references count="2">
          <reference field="4294967294" count="1" selected="0">
            <x v="0"/>
          </reference>
          <reference field="10" count="1" selected="0">
            <x v="1"/>
          </reference>
        </references>
      </pivotArea>
    </chartFormat>
    <chartFormat chart="7" format="10">
      <pivotArea type="data" outline="0" fieldPosition="0">
        <references count="2">
          <reference field="4294967294" count="1" selected="0">
            <x v="0"/>
          </reference>
          <reference field="10" count="1" selected="0">
            <x v="2"/>
          </reference>
        </references>
      </pivotArea>
    </chartFormat>
    <chartFormat chart="7" format="11">
      <pivotArea type="data" outline="0" fieldPosition="0">
        <references count="2">
          <reference field="4294967294" count="1" selected="0">
            <x v="0"/>
          </reference>
          <reference field="10" count="1" selected="0">
            <x v="3"/>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 chart="0" format="5">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2F401D-C347-4058-8976-9376C32AC33D}" name="PivotTable2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C14" firstHeaderRow="0" firstDataRow="1" firstDataCol="1"/>
  <pivotFields count="17">
    <pivotField showAll="0"/>
    <pivotField dataField="1"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dataField="1" showAll="0"/>
    <pivotField numFmtId="14" showAll="0"/>
    <pivotField showAll="0"/>
    <pivotField showAll="0"/>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Amount" fld="13"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1DCA50-8894-40B4-8C46-465693B4ADD1}"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6">
    <pivotField showAll="0">
      <items count="11">
        <item x="0"/>
        <item x="1"/>
        <item x="2"/>
        <item x="3"/>
        <item x="4"/>
        <item x="5"/>
        <item x="6"/>
        <item h="1" x="7"/>
        <item h="1" x="8"/>
        <item h="1" x="9"/>
        <item t="default"/>
      </items>
    </pivotField>
    <pivotField dataField="1" showAll="0">
      <items count="11">
        <item x="0"/>
        <item x="1"/>
        <item x="2"/>
        <item x="3"/>
        <item x="4"/>
        <item x="5"/>
        <item x="6"/>
        <item x="7"/>
        <item x="8"/>
        <item x="9"/>
        <item t="default"/>
      </items>
    </pivotField>
    <pivotField showAll="0"/>
    <pivotField showAll="0"/>
    <pivotField axis="axisCol" showAll="0" sortType="ascending">
      <items count="3">
        <item x="1"/>
        <item x="0"/>
        <item t="default"/>
      </items>
    </pivotField>
    <pivotField showAll="0"/>
    <pivotField axis="axisRow" showAll="0">
      <items count="4">
        <item x="0"/>
        <item x="2"/>
        <item x="1"/>
        <item t="default"/>
      </items>
    </pivotField>
    <pivotField numFmtId="14" showAll="0"/>
    <pivotField showAll="0"/>
    <pivotField showAll="0"/>
    <pivotField showAll="0"/>
    <pivotField showAll="0"/>
    <pivotField showAll="0"/>
    <pivotField showAll="0"/>
    <pivotField showAll="0"/>
    <pivotField showAll="0"/>
  </pivotFields>
  <rowFields count="1">
    <field x="6"/>
  </rowFields>
  <rowItems count="3">
    <i>
      <x/>
    </i>
    <i>
      <x v="2"/>
    </i>
    <i t="grand">
      <x/>
    </i>
  </rowItems>
  <colFields count="1">
    <field x="4"/>
  </colFields>
  <colItems count="3">
    <i>
      <x/>
    </i>
    <i>
      <x v="1"/>
    </i>
    <i t="grand">
      <x/>
    </i>
  </colItems>
  <dataFields count="1">
    <dataField name="Count of Order ID" fld="1" subtotal="count" showDataAs="percentOfTotal" baseField="0" baseItem="0" numFmtId="10"/>
  </dataFields>
  <chartFormats count="6">
    <chartFormat chart="0" format="0" series="1">
      <pivotArea type="data" outline="0" fieldPosition="0">
        <references count="1">
          <reference field="4" count="1" selected="0">
            <x v="0"/>
          </reference>
        </references>
      </pivotArea>
    </chartFormat>
    <chartFormat chart="0" format="1" series="1">
      <pivotArea type="data" outline="0" fieldPosition="0">
        <references count="1">
          <reference field="4" count="1" selected="0">
            <x v="1"/>
          </reference>
        </references>
      </pivotArea>
    </chartFormat>
    <chartFormat chart="0" format="2" series="1">
      <pivotArea type="data" outline="0" fieldPosition="0">
        <references count="2">
          <reference field="4294967294" count="1" selected="0">
            <x v="0"/>
          </reference>
          <reference field="4" count="1" selected="0">
            <x v="0"/>
          </reference>
        </references>
      </pivotArea>
    </chartFormat>
    <chartFormat chart="0" format="3" series="1">
      <pivotArea type="data" outline="0" fieldPosition="0">
        <references count="2">
          <reference field="4294967294" count="1" selected="0">
            <x v="0"/>
          </reference>
          <reference field="4" count="1" selected="0">
            <x v="1"/>
          </reference>
        </references>
      </pivotArea>
    </chartFormat>
    <chartFormat chart="2" format="6" series="1">
      <pivotArea type="data" outline="0" fieldPosition="0">
        <references count="2">
          <reference field="4294967294" count="1" selected="0">
            <x v="0"/>
          </reference>
          <reference field="4" count="1" selected="0">
            <x v="0"/>
          </reference>
        </references>
      </pivotArea>
    </chartFormat>
    <chartFormat chart="2" format="7"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B17EB7-E25C-4EC4-B110-C0200FDF9A78}"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7" firstHeaderRow="1" firstDataRow="1" firstDataCol="1"/>
  <pivotFields count="16">
    <pivotField showAll="0">
      <items count="11">
        <item x="0"/>
        <item x="1"/>
        <item x="2"/>
        <item x="3"/>
        <item x="4"/>
        <item x="5"/>
        <item x="6"/>
        <item h="1" x="7"/>
        <item h="1" x="8"/>
        <item h="1" x="9"/>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dataField="1" showAll="0"/>
    <pivotField showAll="0"/>
    <pivotField axis="axisRow" showAll="0" measureFilter="1" sortType="descending">
      <items count="11">
        <item x="7"/>
        <item x="4"/>
        <item x="9"/>
        <item x="6"/>
        <item x="3"/>
        <item x="0"/>
        <item x="1"/>
        <item x="2"/>
        <item x="5"/>
        <item x="8"/>
        <item t="default"/>
      </items>
    </pivotField>
  </pivotFields>
  <rowFields count="1">
    <field x="15"/>
  </rowFields>
  <rowItems count="6">
    <i>
      <x v="1"/>
    </i>
    <i>
      <x v="4"/>
    </i>
    <i>
      <x v="5"/>
    </i>
    <i>
      <x v="6"/>
    </i>
    <i>
      <x v="7"/>
    </i>
    <i t="grand">
      <x/>
    </i>
  </rowItems>
  <colItems count="1">
    <i/>
  </colItems>
  <dataFields count="1">
    <dataField name="Sum of Amount" fld="13" baseField="0" baseItem="0"/>
  </dataFields>
  <chartFormats count="2">
    <chartFormat chart="0"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FA56DC-40C1-45B3-9B99-98DDCC551752}"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4" firstHeaderRow="1" firstDataRow="1" firstDataCol="1"/>
  <pivotFields count="16">
    <pivotField showAll="0">
      <items count="11">
        <item x="0"/>
        <item x="1"/>
        <item x="2"/>
        <item x="3"/>
        <item x="4"/>
        <item x="5"/>
        <item x="6"/>
        <item h="1" x="7"/>
        <item h="1" x="8"/>
        <item h="1" x="9"/>
        <item t="default"/>
      </items>
    </pivotField>
    <pivotField dataField="1" showAll="0">
      <items count="11">
        <item x="0"/>
        <item x="1"/>
        <item x="2"/>
        <item x="3"/>
        <item x="4"/>
        <item x="5"/>
        <item x="6"/>
        <item x="7"/>
        <item x="8"/>
        <item x="9"/>
        <item t="default"/>
      </items>
    </pivotField>
    <pivotField showAll="0"/>
    <pivotField showAll="0"/>
    <pivotField axis="axisRow" showAll="0">
      <items count="3">
        <item x="1"/>
        <item x="0"/>
        <item t="default"/>
      </items>
    </pivotField>
    <pivotField showAll="0"/>
    <pivotField showAll="0"/>
    <pivotField numFmtId="14"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Order ID" fld="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BD7D8C-BB79-463F-B843-9881ACA453A3}"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16">
    <pivotField showAll="0">
      <items count="11">
        <item x="0"/>
        <item x="1"/>
        <item x="2"/>
        <item x="3"/>
        <item x="4"/>
        <item x="5"/>
        <item x="6"/>
        <item h="1" x="7"/>
        <item h="1" x="8"/>
        <item h="1" x="9"/>
        <item t="default"/>
      </items>
    </pivotField>
    <pivotField dataField="1" showAll="0">
      <items count="11">
        <item x="0"/>
        <item x="1"/>
        <item x="2"/>
        <item x="3"/>
        <item x="4"/>
        <item x="5"/>
        <item x="6"/>
        <item x="7"/>
        <item x="8"/>
        <item x="9"/>
        <item t="default"/>
      </items>
    </pivotField>
    <pivotField showAll="0"/>
    <pivotField showAll="0"/>
    <pivotField showAll="0"/>
    <pivotField showAll="0"/>
    <pivotField showAll="0"/>
    <pivotField numFmtId="14" showAll="0"/>
    <pivotField showAll="0"/>
    <pivotField axis="axisRow" showAll="0">
      <items count="5">
        <item x="1"/>
        <item x="0"/>
        <item x="3"/>
        <item x="2"/>
        <item t="default"/>
      </items>
    </pivotField>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Count of Order ID" fld="1" subtotal="count"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 chart="3" format="8">
      <pivotArea type="data" outline="0" fieldPosition="0">
        <references count="2">
          <reference field="4294967294" count="1" selected="0">
            <x v="0"/>
          </reference>
          <reference field="9" count="1" selected="0">
            <x v="1"/>
          </reference>
        </references>
      </pivotArea>
    </chartFormat>
    <chartFormat chart="3" format="9">
      <pivotArea type="data" outline="0" fieldPosition="0">
        <references count="2">
          <reference field="4294967294" count="1" selected="0">
            <x v="0"/>
          </reference>
          <reference field="9" count="1" selected="0">
            <x v="2"/>
          </reference>
        </references>
      </pivotArea>
    </chartFormat>
    <chartFormat chart="3" format="10">
      <pivotArea type="data" outline="0" fieldPosition="0">
        <references count="2">
          <reference field="4294967294" count="1" selected="0">
            <x v="0"/>
          </reference>
          <reference field="9" count="1" selected="0">
            <x v="3"/>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30A9BB-14B2-4930-8379-2364FF894CBF}" name="PivotTable2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C3" firstHeaderRow="0" firstDataRow="1" firstDataCol="1"/>
  <pivotFields count="16">
    <pivotField showAll="0">
      <items count="11">
        <item x="0"/>
        <item x="1"/>
        <item x="2"/>
        <item x="3"/>
        <item x="4"/>
        <item x="5"/>
        <item x="6"/>
        <item h="1" x="7"/>
        <item h="1" x="8"/>
        <item h="1" x="9"/>
        <item t="default"/>
      </items>
    </pivotField>
    <pivotField dataField="1" showAll="0">
      <items count="11">
        <item x="0"/>
        <item x="1"/>
        <item x="2"/>
        <item x="3"/>
        <item x="4"/>
        <item x="5"/>
        <item x="6"/>
        <item x="7"/>
        <item x="8"/>
        <item x="9"/>
        <item t="default"/>
      </items>
    </pivotField>
    <pivotField showAll="0"/>
    <pivotField showAll="0"/>
    <pivotField showAll="0"/>
    <pivotField showAll="0"/>
    <pivotField showAll="0"/>
    <pivotField numFmtId="14" showAll="0"/>
    <pivotField axis="axisRow" showAll="0">
      <items count="2">
        <item x="0"/>
        <item t="default"/>
      </items>
    </pivotField>
    <pivotField showAll="0"/>
    <pivotField showAll="0"/>
    <pivotField showAll="0"/>
    <pivotField showAll="0"/>
    <pivotField dataField="1" showAll="0"/>
    <pivotField showAll="0"/>
    <pivotField showAll="0"/>
  </pivotFields>
  <rowFields count="1">
    <field x="8"/>
  </rowFields>
  <rowItems count="2">
    <i>
      <x/>
    </i>
    <i t="grand">
      <x/>
    </i>
  </rowItems>
  <colFields count="1">
    <field x="-2"/>
  </colFields>
  <colItems count="2">
    <i>
      <x/>
    </i>
    <i i="1">
      <x v="1"/>
    </i>
  </colItems>
  <dataFields count="2">
    <dataField name="Sum of Amount" fld="13"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r_No" xr10:uid="{7049145C-BB00-4299-A5EA-6620A28AB00A}" sourceName="Sr No">
  <pivotTables>
    <pivotTable tabId="7" name="PivotTable5"/>
    <pivotTable tabId="6" name="PivotTable4"/>
    <pivotTable tabId="2" name="PivotTable1"/>
    <pivotTable tabId="5" name="PivotTable3"/>
    <pivotTable tabId="9" name="PivotTable21"/>
    <pivotTable tabId="4" name="PivotTable2"/>
  </pivotTables>
  <data>
    <tabular pivotCacheId="275999750">
      <items count="10">
        <i x="0" s="1"/>
        <i x="1" s="1"/>
        <i x="2" s="1"/>
        <i x="3" s="1"/>
        <i x="4" s="1"/>
        <i x="5" s="1"/>
        <i x="6" s="1"/>
        <i x="7"/>
        <i x="8"/>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r No" xr10:uid="{33AB23CE-7A98-4641-AE66-3B845602CD34}" cache="Slicer_Sr_No" caption="Sr No" startItem="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1F100-7D97-4CE0-9B29-254C80E4D41C}">
  <dimension ref="A1:B5"/>
  <sheetViews>
    <sheetView workbookViewId="0">
      <selection activeCell="B3" sqref="B3"/>
    </sheetView>
  </sheetViews>
  <sheetFormatPr defaultRowHeight="14.4" x14ac:dyDescent="0.3"/>
  <cols>
    <col min="1" max="1" width="12.5546875" bestFit="1" customWidth="1"/>
    <col min="2" max="3" width="16.88671875" bestFit="1" customWidth="1"/>
  </cols>
  <sheetData>
    <row r="1" spans="1:2" x14ac:dyDescent="0.3">
      <c r="A1" s="4" t="s">
        <v>65</v>
      </c>
      <c r="B1" t="s">
        <v>68</v>
      </c>
    </row>
    <row r="2" spans="1:2" x14ac:dyDescent="0.3">
      <c r="A2" s="5" t="s">
        <v>23</v>
      </c>
      <c r="B2" s="6">
        <v>0.42857142857142855</v>
      </c>
    </row>
    <row r="3" spans="1:2" x14ac:dyDescent="0.3">
      <c r="A3" s="5" t="s">
        <v>29</v>
      </c>
      <c r="B3" s="6">
        <v>0.2857142857142857</v>
      </c>
    </row>
    <row r="4" spans="1:2" x14ac:dyDescent="0.3">
      <c r="A4" s="5" t="s">
        <v>35</v>
      </c>
      <c r="B4" s="6">
        <v>0.2857142857142857</v>
      </c>
    </row>
    <row r="5" spans="1:2" x14ac:dyDescent="0.3">
      <c r="A5" s="5" t="s">
        <v>66</v>
      </c>
      <c r="B5" s="6">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D8BCD-40E9-48CE-8029-25C54BBE0794}">
  <dimension ref="A1"/>
  <sheetViews>
    <sheetView showGridLines="0" showRowColHeaders="0" tabSelected="1" zoomScale="97" workbookViewId="0">
      <selection activeCell="I33" sqref="I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82C59-AB19-4C72-BAE8-38322385F488}">
  <dimension ref="A1:C14"/>
  <sheetViews>
    <sheetView workbookViewId="0">
      <selection activeCell="L22" sqref="L22"/>
    </sheetView>
  </sheetViews>
  <sheetFormatPr defaultRowHeight="14.4" x14ac:dyDescent="0.3"/>
  <cols>
    <col min="1" max="1" width="12.5546875" bestFit="1" customWidth="1"/>
    <col min="2" max="2" width="14.44140625" bestFit="1" customWidth="1"/>
    <col min="3" max="3" width="15.88671875" bestFit="1" customWidth="1"/>
  </cols>
  <sheetData>
    <row r="1" spans="1:3" x14ac:dyDescent="0.3">
      <c r="A1" s="4" t="s">
        <v>65</v>
      </c>
      <c r="B1" t="s">
        <v>69</v>
      </c>
      <c r="C1" t="s">
        <v>67</v>
      </c>
    </row>
    <row r="2" spans="1:3" x14ac:dyDescent="0.3">
      <c r="A2" s="5" t="s">
        <v>82</v>
      </c>
      <c r="B2">
        <v>2100</v>
      </c>
      <c r="C2">
        <v>2</v>
      </c>
    </row>
    <row r="3" spans="1:3" x14ac:dyDescent="0.3">
      <c r="A3" s="5" t="s">
        <v>91</v>
      </c>
      <c r="B3">
        <v>6800</v>
      </c>
      <c r="C3">
        <v>2</v>
      </c>
    </row>
    <row r="4" spans="1:3" x14ac:dyDescent="0.3">
      <c r="A4" s="5" t="s">
        <v>99</v>
      </c>
      <c r="B4">
        <v>3500</v>
      </c>
      <c r="C4">
        <v>2</v>
      </c>
    </row>
    <row r="5" spans="1:3" x14ac:dyDescent="0.3">
      <c r="A5" s="5" t="s">
        <v>105</v>
      </c>
      <c r="B5">
        <v>2300</v>
      </c>
      <c r="C5">
        <v>2</v>
      </c>
    </row>
    <row r="6" spans="1:3" x14ac:dyDescent="0.3">
      <c r="A6" s="5" t="s">
        <v>71</v>
      </c>
      <c r="B6">
        <v>7500</v>
      </c>
      <c r="C6">
        <v>2</v>
      </c>
    </row>
    <row r="7" spans="1:3" x14ac:dyDescent="0.3">
      <c r="A7" s="5" t="s">
        <v>115</v>
      </c>
      <c r="B7">
        <v>10800</v>
      </c>
      <c r="C7">
        <v>2</v>
      </c>
    </row>
    <row r="8" spans="1:3" x14ac:dyDescent="0.3">
      <c r="A8" s="5" t="s">
        <v>120</v>
      </c>
      <c r="B8">
        <v>4300</v>
      </c>
      <c r="C8">
        <v>2</v>
      </c>
    </row>
    <row r="9" spans="1:3" x14ac:dyDescent="0.3">
      <c r="A9" s="5" t="s">
        <v>126</v>
      </c>
      <c r="B9">
        <v>4300</v>
      </c>
      <c r="C9">
        <v>2</v>
      </c>
    </row>
    <row r="10" spans="1:3" x14ac:dyDescent="0.3">
      <c r="A10" s="5" t="s">
        <v>131</v>
      </c>
      <c r="B10">
        <v>7500</v>
      </c>
      <c r="C10">
        <v>1</v>
      </c>
    </row>
    <row r="11" spans="1:3" x14ac:dyDescent="0.3">
      <c r="A11" s="5" t="s">
        <v>136</v>
      </c>
      <c r="B11">
        <v>1100</v>
      </c>
      <c r="C11">
        <v>1</v>
      </c>
    </row>
    <row r="12" spans="1:3" x14ac:dyDescent="0.3">
      <c r="A12" s="5" t="s">
        <v>140</v>
      </c>
      <c r="B12">
        <v>2400</v>
      </c>
      <c r="C12">
        <v>1</v>
      </c>
    </row>
    <row r="13" spans="1:3" x14ac:dyDescent="0.3">
      <c r="A13" s="5" t="s">
        <v>143</v>
      </c>
      <c r="B13">
        <v>1600</v>
      </c>
      <c r="C13">
        <v>1</v>
      </c>
    </row>
    <row r="14" spans="1:3" x14ac:dyDescent="0.3">
      <c r="A14" s="5" t="s">
        <v>66</v>
      </c>
      <c r="B14">
        <v>54200</v>
      </c>
      <c r="C14">
        <v>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A3E8D-B3B4-4488-A837-3787DE8DF87F}">
  <dimension ref="A1:Q21"/>
  <sheetViews>
    <sheetView zoomScale="65" workbookViewId="0">
      <selection activeCell="F2" sqref="F2"/>
    </sheetView>
  </sheetViews>
  <sheetFormatPr defaultRowHeight="14.4" x14ac:dyDescent="0.3"/>
  <cols>
    <col min="1" max="1" width="9" bestFit="1" customWidth="1"/>
    <col min="4" max="4" width="19.21875" bestFit="1" customWidth="1"/>
    <col min="6" max="6" width="9" bestFit="1" customWidth="1"/>
    <col min="8" max="8" width="13.33203125" bestFit="1" customWidth="1"/>
    <col min="9" max="9" width="11.21875" bestFit="1" customWidth="1"/>
    <col min="10" max="10" width="10.33203125" bestFit="1" customWidth="1"/>
    <col min="12" max="12" width="11.21875" bestFit="1" customWidth="1"/>
    <col min="13" max="14" width="9" bestFit="1" customWidth="1"/>
    <col min="15" max="15" width="13.33203125" bestFit="1" customWidth="1"/>
    <col min="17" max="17" width="13.109375" bestFit="1" customWidth="1"/>
  </cols>
  <sheetData>
    <row r="1" spans="1:17" ht="28.8" x14ac:dyDescent="0.3">
      <c r="A1" s="1" t="s">
        <v>72</v>
      </c>
      <c r="B1" s="1" t="s">
        <v>1</v>
      </c>
      <c r="C1" s="1" t="s">
        <v>2</v>
      </c>
      <c r="D1" s="1" t="s">
        <v>73</v>
      </c>
      <c r="E1" s="1" t="s">
        <v>4</v>
      </c>
      <c r="F1" s="1" t="s">
        <v>5</v>
      </c>
      <c r="G1" s="1" t="s">
        <v>6</v>
      </c>
      <c r="H1" s="1" t="s">
        <v>74</v>
      </c>
      <c r="I1" s="1" t="s">
        <v>8</v>
      </c>
      <c r="J1" s="1" t="s">
        <v>9</v>
      </c>
      <c r="K1" s="1" t="s">
        <v>10</v>
      </c>
      <c r="L1" s="1" t="s">
        <v>11</v>
      </c>
      <c r="M1" s="1" t="s">
        <v>12</v>
      </c>
      <c r="N1" s="1" t="s">
        <v>13</v>
      </c>
      <c r="O1" s="1" t="s">
        <v>75</v>
      </c>
      <c r="P1" s="1" t="s">
        <v>76</v>
      </c>
      <c r="Q1" s="1" t="s">
        <v>77</v>
      </c>
    </row>
    <row r="2" spans="1:17" ht="28.8" x14ac:dyDescent="0.3">
      <c r="A2" s="2">
        <v>1</v>
      </c>
      <c r="B2" s="2" t="s">
        <v>78</v>
      </c>
      <c r="C2" s="2" t="s">
        <v>79</v>
      </c>
      <c r="D2" s="2" t="s">
        <v>18</v>
      </c>
      <c r="E2" s="2" t="s">
        <v>80</v>
      </c>
      <c r="F2" s="2">
        <v>22</v>
      </c>
      <c r="G2" s="2" t="s">
        <v>81</v>
      </c>
      <c r="H2" s="3">
        <v>45658</v>
      </c>
      <c r="I2" s="2" t="s">
        <v>82</v>
      </c>
      <c r="J2" s="2" t="s">
        <v>22</v>
      </c>
      <c r="K2" s="2" t="s">
        <v>83</v>
      </c>
      <c r="L2" s="2" t="s">
        <v>24</v>
      </c>
      <c r="M2" s="2">
        <v>2</v>
      </c>
      <c r="N2" s="2">
        <v>1200</v>
      </c>
      <c r="O2" s="3">
        <v>45660</v>
      </c>
      <c r="P2" s="2" t="s">
        <v>84</v>
      </c>
      <c r="Q2" s="2" t="s">
        <v>85</v>
      </c>
    </row>
    <row r="3" spans="1:17" ht="28.8" x14ac:dyDescent="0.3">
      <c r="A3" s="2">
        <v>2</v>
      </c>
      <c r="B3" s="2" t="s">
        <v>86</v>
      </c>
      <c r="C3" s="2" t="s">
        <v>87</v>
      </c>
      <c r="D3" s="2" t="s">
        <v>88</v>
      </c>
      <c r="E3" s="2" t="s">
        <v>89</v>
      </c>
      <c r="F3" s="2">
        <v>28</v>
      </c>
      <c r="G3" s="2" t="s">
        <v>90</v>
      </c>
      <c r="H3" s="3">
        <v>45690</v>
      </c>
      <c r="I3" s="2" t="s">
        <v>91</v>
      </c>
      <c r="J3" s="2" t="s">
        <v>92</v>
      </c>
      <c r="K3" s="2" t="s">
        <v>93</v>
      </c>
      <c r="L3" s="2" t="s">
        <v>30</v>
      </c>
      <c r="M3" s="2">
        <v>1</v>
      </c>
      <c r="N3" s="2">
        <v>800</v>
      </c>
      <c r="O3" s="3">
        <v>45692</v>
      </c>
      <c r="P3" s="2" t="s">
        <v>94</v>
      </c>
      <c r="Q3" s="2" t="s">
        <v>95</v>
      </c>
    </row>
    <row r="4" spans="1:17" ht="43.2" x14ac:dyDescent="0.3">
      <c r="A4" s="2">
        <v>3</v>
      </c>
      <c r="B4" s="2" t="s">
        <v>96</v>
      </c>
      <c r="C4" s="2" t="s">
        <v>97</v>
      </c>
      <c r="D4" s="2" t="s">
        <v>98</v>
      </c>
      <c r="E4" s="2" t="s">
        <v>80</v>
      </c>
      <c r="F4" s="2">
        <v>31</v>
      </c>
      <c r="G4" s="2" t="s">
        <v>90</v>
      </c>
      <c r="H4" s="3">
        <v>45719</v>
      </c>
      <c r="I4" s="2" t="s">
        <v>99</v>
      </c>
      <c r="J4" s="2" t="s">
        <v>22</v>
      </c>
      <c r="K4" s="2" t="s">
        <v>83</v>
      </c>
      <c r="L4" s="2" t="s">
        <v>49</v>
      </c>
      <c r="M4" s="2">
        <v>5</v>
      </c>
      <c r="N4" s="2">
        <v>1500</v>
      </c>
      <c r="O4" s="3">
        <v>45721</v>
      </c>
      <c r="P4" s="2" t="s">
        <v>100</v>
      </c>
      <c r="Q4" s="2" t="s">
        <v>101</v>
      </c>
    </row>
    <row r="5" spans="1:17" ht="28.8" x14ac:dyDescent="0.3">
      <c r="A5" s="2">
        <v>4</v>
      </c>
      <c r="B5" s="2" t="s">
        <v>102</v>
      </c>
      <c r="C5" s="2" t="s">
        <v>103</v>
      </c>
      <c r="D5" s="2" t="s">
        <v>104</v>
      </c>
      <c r="E5" s="2" t="s">
        <v>89</v>
      </c>
      <c r="F5" s="2">
        <v>24</v>
      </c>
      <c r="G5" s="2" t="s">
        <v>81</v>
      </c>
      <c r="H5" s="3">
        <v>45751</v>
      </c>
      <c r="I5" s="2" t="s">
        <v>105</v>
      </c>
      <c r="J5" s="2" t="s">
        <v>34</v>
      </c>
      <c r="K5" s="2" t="s">
        <v>83</v>
      </c>
      <c r="L5" s="2" t="s">
        <v>41</v>
      </c>
      <c r="M5" s="2">
        <v>3</v>
      </c>
      <c r="N5" s="2">
        <v>900</v>
      </c>
      <c r="O5" s="3">
        <v>45753</v>
      </c>
      <c r="P5" s="2" t="s">
        <v>84</v>
      </c>
      <c r="Q5" s="2" t="s">
        <v>106</v>
      </c>
    </row>
    <row r="6" spans="1:17" ht="28.8" x14ac:dyDescent="0.3">
      <c r="A6" s="2">
        <v>5</v>
      </c>
      <c r="B6" s="2" t="s">
        <v>107</v>
      </c>
      <c r="C6" s="2" t="s">
        <v>108</v>
      </c>
      <c r="D6" s="2" t="s">
        <v>109</v>
      </c>
      <c r="E6" s="2" t="s">
        <v>80</v>
      </c>
      <c r="F6" s="2">
        <v>40</v>
      </c>
      <c r="G6" s="2" t="s">
        <v>110</v>
      </c>
      <c r="H6" s="3">
        <v>45782</v>
      </c>
      <c r="I6" s="2" t="s">
        <v>71</v>
      </c>
      <c r="J6" s="2" t="s">
        <v>22</v>
      </c>
      <c r="K6" s="2" t="s">
        <v>93</v>
      </c>
      <c r="L6" s="2" t="s">
        <v>24</v>
      </c>
      <c r="M6" s="2">
        <v>1</v>
      </c>
      <c r="N6" s="2">
        <v>5000</v>
      </c>
      <c r="O6" s="3">
        <v>45784</v>
      </c>
      <c r="P6" s="2" t="s">
        <v>111</v>
      </c>
      <c r="Q6" s="2" t="s">
        <v>85</v>
      </c>
    </row>
    <row r="7" spans="1:17" ht="28.8" x14ac:dyDescent="0.3">
      <c r="A7" s="2">
        <v>6</v>
      </c>
      <c r="B7" s="2" t="s">
        <v>112</v>
      </c>
      <c r="C7" s="2" t="s">
        <v>113</v>
      </c>
      <c r="D7" s="2" t="s">
        <v>114</v>
      </c>
      <c r="E7" s="2" t="s">
        <v>89</v>
      </c>
      <c r="F7" s="2">
        <v>27</v>
      </c>
      <c r="G7" s="2" t="s">
        <v>90</v>
      </c>
      <c r="H7" s="3">
        <v>45814</v>
      </c>
      <c r="I7" s="2" t="s">
        <v>115</v>
      </c>
      <c r="J7" s="2" t="s">
        <v>22</v>
      </c>
      <c r="K7" s="2" t="s">
        <v>83</v>
      </c>
      <c r="L7" s="2" t="s">
        <v>30</v>
      </c>
      <c r="M7" s="2">
        <v>2</v>
      </c>
      <c r="N7" s="2">
        <v>1800</v>
      </c>
      <c r="O7" s="3">
        <v>45816</v>
      </c>
      <c r="P7" s="2" t="s">
        <v>94</v>
      </c>
      <c r="Q7" s="2" t="s">
        <v>116</v>
      </c>
    </row>
    <row r="8" spans="1:17" ht="28.8" x14ac:dyDescent="0.3">
      <c r="A8" s="2">
        <v>7</v>
      </c>
      <c r="B8" s="2" t="s">
        <v>117</v>
      </c>
      <c r="C8" s="2" t="s">
        <v>118</v>
      </c>
      <c r="D8" s="2" t="s">
        <v>119</v>
      </c>
      <c r="E8" s="2" t="s">
        <v>80</v>
      </c>
      <c r="F8" s="2">
        <v>23</v>
      </c>
      <c r="G8" s="2" t="s">
        <v>81</v>
      </c>
      <c r="H8" s="3">
        <v>45845</v>
      </c>
      <c r="I8" s="2" t="s">
        <v>120</v>
      </c>
      <c r="J8" s="2" t="s">
        <v>92</v>
      </c>
      <c r="K8" s="2" t="s">
        <v>83</v>
      </c>
      <c r="L8" s="2" t="s">
        <v>121</v>
      </c>
      <c r="M8" s="2">
        <v>4</v>
      </c>
      <c r="N8" s="2">
        <v>2200</v>
      </c>
      <c r="O8" s="3">
        <v>45847</v>
      </c>
      <c r="P8" s="2" t="s">
        <v>100</v>
      </c>
      <c r="Q8" s="2" t="s">
        <v>122</v>
      </c>
    </row>
    <row r="9" spans="1:17" ht="28.8" x14ac:dyDescent="0.3">
      <c r="A9" s="2">
        <v>8</v>
      </c>
      <c r="B9" s="2" t="s">
        <v>123</v>
      </c>
      <c r="C9" s="2" t="s">
        <v>124</v>
      </c>
      <c r="D9" s="2" t="s">
        <v>125</v>
      </c>
      <c r="E9" s="2" t="s">
        <v>89</v>
      </c>
      <c r="F9" s="2">
        <v>34</v>
      </c>
      <c r="G9" s="2" t="s">
        <v>90</v>
      </c>
      <c r="H9" s="3">
        <v>45877</v>
      </c>
      <c r="I9" s="2" t="s">
        <v>126</v>
      </c>
      <c r="J9" s="2" t="s">
        <v>22</v>
      </c>
      <c r="K9" s="2" t="s">
        <v>93</v>
      </c>
      <c r="L9" s="2" t="s">
        <v>49</v>
      </c>
      <c r="M9" s="2">
        <v>6</v>
      </c>
      <c r="N9" s="2">
        <v>1300</v>
      </c>
      <c r="O9" s="3">
        <v>45879</v>
      </c>
      <c r="P9" s="2" t="s">
        <v>84</v>
      </c>
      <c r="Q9" s="2" t="s">
        <v>127</v>
      </c>
    </row>
    <row r="10" spans="1:17" ht="28.8" x14ac:dyDescent="0.3">
      <c r="A10" s="2">
        <v>9</v>
      </c>
      <c r="B10" s="2" t="s">
        <v>128</v>
      </c>
      <c r="C10" s="2" t="s">
        <v>129</v>
      </c>
      <c r="D10" s="2" t="s">
        <v>130</v>
      </c>
      <c r="E10" s="2" t="s">
        <v>80</v>
      </c>
      <c r="F10" s="2">
        <v>29</v>
      </c>
      <c r="G10" s="2" t="s">
        <v>90</v>
      </c>
      <c r="H10" s="3">
        <v>45909</v>
      </c>
      <c r="I10" s="2" t="s">
        <v>131</v>
      </c>
      <c r="J10" s="2" t="s">
        <v>22</v>
      </c>
      <c r="K10" s="2" t="s">
        <v>83</v>
      </c>
      <c r="L10" s="2" t="s">
        <v>24</v>
      </c>
      <c r="M10" s="2">
        <v>1</v>
      </c>
      <c r="N10" s="2">
        <v>7500</v>
      </c>
      <c r="O10" s="3">
        <v>45911</v>
      </c>
      <c r="P10" s="2" t="s">
        <v>132</v>
      </c>
      <c r="Q10" s="2" t="s">
        <v>85</v>
      </c>
    </row>
    <row r="11" spans="1:17" ht="28.8" x14ac:dyDescent="0.3">
      <c r="A11" s="2">
        <v>10</v>
      </c>
      <c r="B11" s="2" t="s">
        <v>133</v>
      </c>
      <c r="C11" s="2" t="s">
        <v>134</v>
      </c>
      <c r="D11" s="2" t="s">
        <v>135</v>
      </c>
      <c r="E11" s="2" t="s">
        <v>89</v>
      </c>
      <c r="F11" s="2">
        <v>21</v>
      </c>
      <c r="G11" s="2" t="s">
        <v>81</v>
      </c>
      <c r="H11" s="3">
        <v>45940</v>
      </c>
      <c r="I11" s="2" t="s">
        <v>136</v>
      </c>
      <c r="J11" s="2" t="s">
        <v>92</v>
      </c>
      <c r="K11" s="2" t="s">
        <v>83</v>
      </c>
      <c r="L11" s="2" t="s">
        <v>41</v>
      </c>
      <c r="M11" s="2">
        <v>2</v>
      </c>
      <c r="N11" s="2">
        <v>1100</v>
      </c>
      <c r="O11" s="3">
        <v>45942</v>
      </c>
      <c r="P11" s="2" t="s">
        <v>94</v>
      </c>
      <c r="Q11" s="2" t="s">
        <v>95</v>
      </c>
    </row>
    <row r="12" spans="1:17" ht="28.8" x14ac:dyDescent="0.3">
      <c r="A12" s="2">
        <v>11</v>
      </c>
      <c r="B12" s="2" t="s">
        <v>137</v>
      </c>
      <c r="C12" s="2" t="s">
        <v>138</v>
      </c>
      <c r="D12" s="2" t="s">
        <v>139</v>
      </c>
      <c r="E12" s="2" t="s">
        <v>80</v>
      </c>
      <c r="F12" s="2">
        <v>38</v>
      </c>
      <c r="G12" s="2" t="s">
        <v>110</v>
      </c>
      <c r="H12" s="3">
        <v>45972</v>
      </c>
      <c r="I12" s="2" t="s">
        <v>140</v>
      </c>
      <c r="J12" s="2" t="s">
        <v>22</v>
      </c>
      <c r="K12" s="2" t="s">
        <v>93</v>
      </c>
      <c r="L12" s="2" t="s">
        <v>30</v>
      </c>
      <c r="M12" s="2">
        <v>3</v>
      </c>
      <c r="N12" s="2">
        <v>2400</v>
      </c>
      <c r="O12" s="3">
        <v>45974</v>
      </c>
      <c r="P12" s="2" t="s">
        <v>100</v>
      </c>
      <c r="Q12" s="2" t="s">
        <v>101</v>
      </c>
    </row>
    <row r="13" spans="1:17" ht="28.8" x14ac:dyDescent="0.3">
      <c r="A13" s="2">
        <v>12</v>
      </c>
      <c r="B13" s="2" t="s">
        <v>141</v>
      </c>
      <c r="C13" s="2" t="s">
        <v>142</v>
      </c>
      <c r="D13" s="2" t="s">
        <v>64</v>
      </c>
      <c r="E13" s="2" t="s">
        <v>89</v>
      </c>
      <c r="F13" s="2">
        <v>26</v>
      </c>
      <c r="G13" s="2" t="s">
        <v>90</v>
      </c>
      <c r="H13" s="3">
        <v>46003</v>
      </c>
      <c r="I13" s="2" t="s">
        <v>143</v>
      </c>
      <c r="J13" s="2" t="s">
        <v>22</v>
      </c>
      <c r="K13" s="2" t="s">
        <v>83</v>
      </c>
      <c r="L13" s="2" t="s">
        <v>49</v>
      </c>
      <c r="M13" s="2">
        <v>5</v>
      </c>
      <c r="N13" s="2">
        <v>1600</v>
      </c>
      <c r="O13" s="3">
        <v>46005</v>
      </c>
      <c r="P13" s="2" t="s">
        <v>111</v>
      </c>
      <c r="Q13" s="2" t="s">
        <v>85</v>
      </c>
    </row>
    <row r="14" spans="1:17" ht="28.8" x14ac:dyDescent="0.3">
      <c r="A14" s="2">
        <v>13</v>
      </c>
      <c r="B14" s="2" t="s">
        <v>144</v>
      </c>
      <c r="C14" s="2" t="s">
        <v>145</v>
      </c>
      <c r="D14" s="2" t="s">
        <v>146</v>
      </c>
      <c r="E14" s="2" t="s">
        <v>80</v>
      </c>
      <c r="F14" s="2">
        <v>32</v>
      </c>
      <c r="G14" s="2" t="s">
        <v>90</v>
      </c>
      <c r="H14" s="3">
        <v>45670</v>
      </c>
      <c r="I14" s="2" t="s">
        <v>82</v>
      </c>
      <c r="J14" s="2" t="s">
        <v>34</v>
      </c>
      <c r="K14" s="2" t="s">
        <v>83</v>
      </c>
      <c r="L14" s="2" t="s">
        <v>121</v>
      </c>
      <c r="M14" s="2">
        <v>2</v>
      </c>
      <c r="N14" s="2">
        <v>900</v>
      </c>
      <c r="O14" s="3">
        <v>45672</v>
      </c>
      <c r="P14" s="2" t="s">
        <v>84</v>
      </c>
      <c r="Q14" s="2" t="s">
        <v>106</v>
      </c>
    </row>
    <row r="15" spans="1:17" ht="28.8" x14ac:dyDescent="0.3">
      <c r="A15" s="2">
        <v>14</v>
      </c>
      <c r="B15" s="2" t="s">
        <v>147</v>
      </c>
      <c r="C15" s="2" t="s">
        <v>148</v>
      </c>
      <c r="D15" s="2" t="s">
        <v>149</v>
      </c>
      <c r="E15" s="2" t="s">
        <v>89</v>
      </c>
      <c r="F15" s="2">
        <v>30</v>
      </c>
      <c r="G15" s="2" t="s">
        <v>90</v>
      </c>
      <c r="H15" s="3">
        <v>45702</v>
      </c>
      <c r="I15" s="2" t="s">
        <v>91</v>
      </c>
      <c r="J15" s="2" t="s">
        <v>22</v>
      </c>
      <c r="K15" s="2" t="s">
        <v>93</v>
      </c>
      <c r="L15" s="2" t="s">
        <v>24</v>
      </c>
      <c r="M15" s="2">
        <v>1</v>
      </c>
      <c r="N15" s="2">
        <v>6000</v>
      </c>
      <c r="O15" s="3">
        <v>45704</v>
      </c>
      <c r="P15" s="2" t="s">
        <v>94</v>
      </c>
      <c r="Q15" s="2" t="s">
        <v>150</v>
      </c>
    </row>
    <row r="16" spans="1:17" ht="28.8" x14ac:dyDescent="0.3">
      <c r="A16" s="2">
        <v>15</v>
      </c>
      <c r="B16" s="2" t="s">
        <v>151</v>
      </c>
      <c r="C16" s="2" t="s">
        <v>152</v>
      </c>
      <c r="D16" s="2" t="s">
        <v>153</v>
      </c>
      <c r="E16" s="2" t="s">
        <v>80</v>
      </c>
      <c r="F16" s="2">
        <v>25</v>
      </c>
      <c r="G16" s="2" t="s">
        <v>81</v>
      </c>
      <c r="H16" s="3">
        <v>45731</v>
      </c>
      <c r="I16" s="2" t="s">
        <v>99</v>
      </c>
      <c r="J16" s="2" t="s">
        <v>92</v>
      </c>
      <c r="K16" s="2" t="s">
        <v>83</v>
      </c>
      <c r="L16" s="2" t="s">
        <v>30</v>
      </c>
      <c r="M16" s="2">
        <v>4</v>
      </c>
      <c r="N16" s="2">
        <v>2000</v>
      </c>
      <c r="O16" s="3">
        <v>45733</v>
      </c>
      <c r="P16" s="2" t="s">
        <v>132</v>
      </c>
      <c r="Q16" s="2" t="s">
        <v>85</v>
      </c>
    </row>
    <row r="17" spans="1:17" ht="28.8" x14ac:dyDescent="0.3">
      <c r="A17" s="2">
        <v>16</v>
      </c>
      <c r="B17" s="2" t="s">
        <v>154</v>
      </c>
      <c r="C17" s="2" t="s">
        <v>155</v>
      </c>
      <c r="D17" s="2" t="s">
        <v>156</v>
      </c>
      <c r="E17" s="2" t="s">
        <v>89</v>
      </c>
      <c r="F17" s="2">
        <v>33</v>
      </c>
      <c r="G17" s="2" t="s">
        <v>90</v>
      </c>
      <c r="H17" s="3">
        <v>45763</v>
      </c>
      <c r="I17" s="2" t="s">
        <v>105</v>
      </c>
      <c r="J17" s="2" t="s">
        <v>22</v>
      </c>
      <c r="K17" s="2" t="s">
        <v>83</v>
      </c>
      <c r="L17" s="2" t="s">
        <v>41</v>
      </c>
      <c r="M17" s="2">
        <v>2</v>
      </c>
      <c r="N17" s="2">
        <v>1400</v>
      </c>
      <c r="O17" s="3">
        <v>45765</v>
      </c>
      <c r="P17" s="2" t="s">
        <v>100</v>
      </c>
      <c r="Q17" s="2" t="s">
        <v>122</v>
      </c>
    </row>
    <row r="18" spans="1:17" ht="28.8" x14ac:dyDescent="0.3">
      <c r="A18" s="2">
        <v>17</v>
      </c>
      <c r="B18" s="2" t="s">
        <v>157</v>
      </c>
      <c r="C18" s="2" t="s">
        <v>158</v>
      </c>
      <c r="D18" s="2" t="s">
        <v>159</v>
      </c>
      <c r="E18" s="2" t="s">
        <v>80</v>
      </c>
      <c r="F18" s="2">
        <v>45</v>
      </c>
      <c r="G18" s="2" t="s">
        <v>110</v>
      </c>
      <c r="H18" s="3">
        <v>45794</v>
      </c>
      <c r="I18" s="2" t="s">
        <v>71</v>
      </c>
      <c r="J18" s="2" t="s">
        <v>22</v>
      </c>
      <c r="K18" s="2" t="s">
        <v>93</v>
      </c>
      <c r="L18" s="2" t="s">
        <v>49</v>
      </c>
      <c r="M18" s="2">
        <v>7</v>
      </c>
      <c r="N18" s="2">
        <v>2500</v>
      </c>
      <c r="O18" s="3">
        <v>45796</v>
      </c>
      <c r="P18" s="2" t="s">
        <v>111</v>
      </c>
      <c r="Q18" s="2" t="s">
        <v>95</v>
      </c>
    </row>
    <row r="19" spans="1:17" ht="28.8" x14ac:dyDescent="0.3">
      <c r="A19" s="2">
        <v>18</v>
      </c>
      <c r="B19" s="2" t="s">
        <v>160</v>
      </c>
      <c r="C19" s="2" t="s">
        <v>161</v>
      </c>
      <c r="D19" s="2" t="s">
        <v>162</v>
      </c>
      <c r="E19" s="2" t="s">
        <v>89</v>
      </c>
      <c r="F19" s="2">
        <v>29</v>
      </c>
      <c r="G19" s="2" t="s">
        <v>90</v>
      </c>
      <c r="H19" s="3">
        <v>45826</v>
      </c>
      <c r="I19" s="2" t="s">
        <v>115</v>
      </c>
      <c r="J19" s="2" t="s">
        <v>92</v>
      </c>
      <c r="K19" s="2" t="s">
        <v>83</v>
      </c>
      <c r="L19" s="2" t="s">
        <v>24</v>
      </c>
      <c r="M19" s="2">
        <v>1</v>
      </c>
      <c r="N19" s="2">
        <v>9000</v>
      </c>
      <c r="O19" s="3">
        <v>45828</v>
      </c>
      <c r="P19" s="2" t="s">
        <v>94</v>
      </c>
      <c r="Q19" s="2" t="s">
        <v>127</v>
      </c>
    </row>
    <row r="20" spans="1:17" ht="28.8" x14ac:dyDescent="0.3">
      <c r="A20" s="2">
        <v>19</v>
      </c>
      <c r="B20" s="2" t="s">
        <v>163</v>
      </c>
      <c r="C20" s="2" t="s">
        <v>164</v>
      </c>
      <c r="D20" s="2" t="s">
        <v>165</v>
      </c>
      <c r="E20" s="2" t="s">
        <v>80</v>
      </c>
      <c r="F20" s="2">
        <v>27</v>
      </c>
      <c r="G20" s="2" t="s">
        <v>90</v>
      </c>
      <c r="H20" s="3">
        <v>45857</v>
      </c>
      <c r="I20" s="2" t="s">
        <v>120</v>
      </c>
      <c r="J20" s="2" t="s">
        <v>22</v>
      </c>
      <c r="K20" s="2" t="s">
        <v>83</v>
      </c>
      <c r="L20" s="2" t="s">
        <v>121</v>
      </c>
      <c r="M20" s="2">
        <v>3</v>
      </c>
      <c r="N20" s="2">
        <v>2100</v>
      </c>
      <c r="O20" s="3">
        <v>45859</v>
      </c>
      <c r="P20" s="2" t="s">
        <v>84</v>
      </c>
      <c r="Q20" s="2" t="s">
        <v>85</v>
      </c>
    </row>
    <row r="21" spans="1:17" ht="43.2" x14ac:dyDescent="0.3">
      <c r="A21" s="2">
        <v>20</v>
      </c>
      <c r="B21" s="2" t="s">
        <v>166</v>
      </c>
      <c r="C21" s="2" t="s">
        <v>167</v>
      </c>
      <c r="D21" s="2" t="s">
        <v>168</v>
      </c>
      <c r="E21" s="2" t="s">
        <v>89</v>
      </c>
      <c r="F21" s="2">
        <v>36</v>
      </c>
      <c r="G21" s="2" t="s">
        <v>110</v>
      </c>
      <c r="H21" s="3">
        <v>45889</v>
      </c>
      <c r="I21" s="2" t="s">
        <v>126</v>
      </c>
      <c r="J21" s="2" t="s">
        <v>22</v>
      </c>
      <c r="K21" s="2" t="s">
        <v>93</v>
      </c>
      <c r="L21" s="2" t="s">
        <v>30</v>
      </c>
      <c r="M21" s="2">
        <v>2</v>
      </c>
      <c r="N21" s="2">
        <v>3000</v>
      </c>
      <c r="O21" s="3">
        <v>45891</v>
      </c>
      <c r="P21" s="2" t="s">
        <v>132</v>
      </c>
      <c r="Q21" s="2" t="s">
        <v>101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4B1A6-DC0C-4488-9229-6CA5B75643F9}">
  <dimension ref="A1:D5"/>
  <sheetViews>
    <sheetView workbookViewId="0">
      <selection activeCell="F5" sqref="F5"/>
    </sheetView>
  </sheetViews>
  <sheetFormatPr defaultRowHeight="14.4" x14ac:dyDescent="0.3"/>
  <cols>
    <col min="1" max="1" width="15.88671875" bestFit="1" customWidth="1"/>
    <col min="2" max="2" width="15.5546875" bestFit="1" customWidth="1"/>
    <col min="3" max="3" width="7" bestFit="1" customWidth="1"/>
    <col min="4" max="4" width="10.77734375" bestFit="1" customWidth="1"/>
  </cols>
  <sheetData>
    <row r="1" spans="1:4" x14ac:dyDescent="0.3">
      <c r="A1" s="4" t="s">
        <v>67</v>
      </c>
      <c r="B1" s="4" t="s">
        <v>70</v>
      </c>
    </row>
    <row r="2" spans="1:4" x14ac:dyDescent="0.3">
      <c r="A2" s="4" t="s">
        <v>65</v>
      </c>
      <c r="B2" t="s">
        <v>28</v>
      </c>
      <c r="C2" t="s">
        <v>19</v>
      </c>
      <c r="D2" t="s">
        <v>66</v>
      </c>
    </row>
    <row r="3" spans="1:4" x14ac:dyDescent="0.3">
      <c r="A3" s="5" t="s">
        <v>20</v>
      </c>
      <c r="B3" s="6">
        <v>0.2857142857142857</v>
      </c>
      <c r="C3" s="6">
        <v>0.42857142857142855</v>
      </c>
      <c r="D3" s="6">
        <v>0.7142857142857143</v>
      </c>
    </row>
    <row r="4" spans="1:4" x14ac:dyDescent="0.3">
      <c r="A4" s="5" t="s">
        <v>40</v>
      </c>
      <c r="B4" s="6">
        <v>0.14285714285714285</v>
      </c>
      <c r="C4" s="6">
        <v>0.14285714285714285</v>
      </c>
      <c r="D4" s="6">
        <v>0.2857142857142857</v>
      </c>
    </row>
    <row r="5" spans="1:4" x14ac:dyDescent="0.3">
      <c r="A5" s="5" t="s">
        <v>66</v>
      </c>
      <c r="B5" s="6">
        <v>0.42857142857142855</v>
      </c>
      <c r="C5" s="6">
        <v>0.5714285714285714</v>
      </c>
      <c r="D5" s="6">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D800B-4483-4954-9EF5-EACD04166EFC}">
  <dimension ref="A1:B7"/>
  <sheetViews>
    <sheetView workbookViewId="0">
      <selection activeCell="D4" sqref="D4"/>
    </sheetView>
  </sheetViews>
  <sheetFormatPr defaultRowHeight="14.4" x14ac:dyDescent="0.3"/>
  <cols>
    <col min="1" max="1" width="12.5546875" bestFit="1" customWidth="1"/>
    <col min="2" max="2" width="14.44140625" bestFit="1" customWidth="1"/>
    <col min="3" max="3" width="15.44140625" bestFit="1" customWidth="1"/>
  </cols>
  <sheetData>
    <row r="1" spans="1:2" x14ac:dyDescent="0.3">
      <c r="A1" s="4" t="s">
        <v>65</v>
      </c>
      <c r="B1" t="s">
        <v>69</v>
      </c>
    </row>
    <row r="2" spans="1:2" x14ac:dyDescent="0.3">
      <c r="A2" s="5">
        <v>422001</v>
      </c>
      <c r="B2" s="7">
        <v>18000</v>
      </c>
    </row>
    <row r="3" spans="1:2" x14ac:dyDescent="0.3">
      <c r="A3" s="5">
        <v>411014</v>
      </c>
      <c r="B3" s="7">
        <v>2800</v>
      </c>
    </row>
    <row r="4" spans="1:2" x14ac:dyDescent="0.3">
      <c r="A4" s="5">
        <v>411001</v>
      </c>
      <c r="B4" s="7">
        <v>25000</v>
      </c>
    </row>
    <row r="5" spans="1:2" x14ac:dyDescent="0.3">
      <c r="A5" s="5">
        <v>400001</v>
      </c>
      <c r="B5" s="7">
        <v>4500</v>
      </c>
    </row>
    <row r="6" spans="1:2" x14ac:dyDescent="0.3">
      <c r="A6" s="5">
        <v>380001</v>
      </c>
      <c r="B6" s="7">
        <v>3200</v>
      </c>
    </row>
    <row r="7" spans="1:2" x14ac:dyDescent="0.3">
      <c r="A7" s="5" t="s">
        <v>66</v>
      </c>
      <c r="B7" s="7">
        <v>53500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442FB-DDEA-4209-ABF1-B0DF608EE4DA}">
  <dimension ref="A1:B4"/>
  <sheetViews>
    <sheetView workbookViewId="0">
      <selection activeCell="L15" sqref="L15"/>
    </sheetView>
  </sheetViews>
  <sheetFormatPr defaultRowHeight="14.4" x14ac:dyDescent="0.3"/>
  <cols>
    <col min="1" max="1" width="12.5546875" bestFit="1" customWidth="1"/>
    <col min="2" max="2" width="15.88671875" bestFit="1" customWidth="1"/>
  </cols>
  <sheetData>
    <row r="1" spans="1:2" x14ac:dyDescent="0.3">
      <c r="A1" s="4" t="s">
        <v>65</v>
      </c>
      <c r="B1" t="s">
        <v>67</v>
      </c>
    </row>
    <row r="2" spans="1:2" x14ac:dyDescent="0.3">
      <c r="A2" s="5" t="s">
        <v>28</v>
      </c>
      <c r="B2" s="6">
        <v>0.42857142857142855</v>
      </c>
    </row>
    <row r="3" spans="1:2" x14ac:dyDescent="0.3">
      <c r="A3" s="5" t="s">
        <v>19</v>
      </c>
      <c r="B3" s="6">
        <v>0.5714285714285714</v>
      </c>
    </row>
    <row r="4" spans="1:2" x14ac:dyDescent="0.3">
      <c r="A4" s="5" t="s">
        <v>66</v>
      </c>
      <c r="B4" s="6">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97979-E405-4FE4-9383-AA747F5CF41E}">
  <dimension ref="A1:B6"/>
  <sheetViews>
    <sheetView workbookViewId="0">
      <selection activeCell="L14" sqref="L14"/>
    </sheetView>
  </sheetViews>
  <sheetFormatPr defaultRowHeight="14.4" x14ac:dyDescent="0.3"/>
  <cols>
    <col min="1" max="1" width="12.5546875" bestFit="1" customWidth="1"/>
    <col min="2" max="2" width="15.88671875" bestFit="1" customWidth="1"/>
  </cols>
  <sheetData>
    <row r="1" spans="1:2" x14ac:dyDescent="0.3">
      <c r="A1" s="4" t="s">
        <v>65</v>
      </c>
      <c r="B1" t="s">
        <v>67</v>
      </c>
    </row>
    <row r="2" spans="1:2" x14ac:dyDescent="0.3">
      <c r="A2" s="5" t="s">
        <v>34</v>
      </c>
      <c r="B2" s="6">
        <v>0.14285714285714285</v>
      </c>
    </row>
    <row r="3" spans="1:2" x14ac:dyDescent="0.3">
      <c r="A3" s="5" t="s">
        <v>22</v>
      </c>
      <c r="B3" s="6">
        <v>0.5714285714285714</v>
      </c>
    </row>
    <row r="4" spans="1:2" x14ac:dyDescent="0.3">
      <c r="A4" s="5" t="s">
        <v>53</v>
      </c>
      <c r="B4" s="6">
        <v>0.14285714285714285</v>
      </c>
    </row>
    <row r="5" spans="1:2" x14ac:dyDescent="0.3">
      <c r="A5" s="5" t="s">
        <v>45</v>
      </c>
      <c r="B5" s="6">
        <v>0.14285714285714285</v>
      </c>
    </row>
    <row r="6" spans="1:2" x14ac:dyDescent="0.3">
      <c r="A6" s="5" t="s">
        <v>66</v>
      </c>
      <c r="B6" s="6">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E4A80-B7F9-4782-993E-973834C36207}">
  <dimension ref="A1:C3"/>
  <sheetViews>
    <sheetView workbookViewId="0">
      <selection activeCell="I20" sqref="I20:I24"/>
    </sheetView>
  </sheetViews>
  <sheetFormatPr defaultRowHeight="14.4" x14ac:dyDescent="0.3"/>
  <cols>
    <col min="1" max="1" width="12.5546875" bestFit="1" customWidth="1"/>
    <col min="2" max="2" width="14.44140625" bestFit="1" customWidth="1"/>
    <col min="3" max="3" width="15.88671875" bestFit="1" customWidth="1"/>
  </cols>
  <sheetData>
    <row r="1" spans="1:3" x14ac:dyDescent="0.3">
      <c r="A1" s="4" t="s">
        <v>65</v>
      </c>
      <c r="B1" t="s">
        <v>69</v>
      </c>
      <c r="C1" t="s">
        <v>67</v>
      </c>
    </row>
    <row r="2" spans="1:3" x14ac:dyDescent="0.3">
      <c r="A2" s="5" t="s">
        <v>21</v>
      </c>
      <c r="B2" s="7">
        <v>57500</v>
      </c>
      <c r="C2" s="7">
        <v>7</v>
      </c>
    </row>
    <row r="3" spans="1:3" x14ac:dyDescent="0.3">
      <c r="A3" s="5" t="s">
        <v>66</v>
      </c>
      <c r="B3" s="7">
        <v>57500</v>
      </c>
      <c r="C3" s="7">
        <v>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7C9BB-47CC-424E-9AEF-FDE2B4BD70BD}">
  <dimension ref="B36:Q46"/>
  <sheetViews>
    <sheetView topLeftCell="A28" workbookViewId="0">
      <selection activeCell="K48" sqref="K48"/>
    </sheetView>
  </sheetViews>
  <sheetFormatPr defaultRowHeight="14.4" x14ac:dyDescent="0.3"/>
  <cols>
    <col min="5" max="5" width="22.109375" customWidth="1"/>
    <col min="8" max="8" width="14.5546875" customWidth="1"/>
    <col min="9" max="9" width="10.33203125" bestFit="1" customWidth="1"/>
    <col min="13" max="13" width="13.5546875" customWidth="1"/>
    <col min="16" max="16" width="10.33203125" bestFit="1" customWidth="1"/>
    <col min="17" max="17" width="7" bestFit="1" customWidth="1"/>
  </cols>
  <sheetData>
    <row r="36" spans="2:17" ht="43.2" x14ac:dyDescent="0.3">
      <c r="B36" s="1" t="s">
        <v>0</v>
      </c>
      <c r="C36" s="1" t="s">
        <v>1</v>
      </c>
      <c r="D36" s="1" t="s">
        <v>2</v>
      </c>
      <c r="E36" s="1" t="s">
        <v>3</v>
      </c>
      <c r="F36" s="1" t="s">
        <v>4</v>
      </c>
      <c r="G36" s="1" t="s">
        <v>5</v>
      </c>
      <c r="H36" s="1" t="s">
        <v>6</v>
      </c>
      <c r="I36" s="1" t="s">
        <v>7</v>
      </c>
      <c r="J36" s="1" t="s">
        <v>8</v>
      </c>
      <c r="K36" s="1" t="s">
        <v>9</v>
      </c>
      <c r="L36" s="1" t="s">
        <v>10</v>
      </c>
      <c r="M36" s="1" t="s">
        <v>11</v>
      </c>
      <c r="N36" s="1" t="s">
        <v>12</v>
      </c>
      <c r="O36" s="1" t="s">
        <v>13</v>
      </c>
      <c r="P36" s="1" t="s">
        <v>14</v>
      </c>
      <c r="Q36" s="1" t="s">
        <v>15</v>
      </c>
    </row>
    <row r="37" spans="2:17" x14ac:dyDescent="0.3">
      <c r="B37" s="2">
        <v>1</v>
      </c>
      <c r="C37" s="2" t="s">
        <v>16</v>
      </c>
      <c r="D37" s="2" t="s">
        <v>17</v>
      </c>
      <c r="E37" s="2" t="s">
        <v>18</v>
      </c>
      <c r="F37" s="2" t="s">
        <v>19</v>
      </c>
      <c r="G37" s="2">
        <v>25</v>
      </c>
      <c r="H37" s="2" t="s">
        <v>20</v>
      </c>
      <c r="I37" s="3">
        <v>46174</v>
      </c>
      <c r="J37" s="2" t="s">
        <v>21</v>
      </c>
      <c r="K37" s="2" t="s">
        <v>22</v>
      </c>
      <c r="L37" s="2" t="s">
        <v>23</v>
      </c>
      <c r="M37" s="2" t="s">
        <v>24</v>
      </c>
      <c r="N37" s="2">
        <v>2</v>
      </c>
      <c r="O37" s="2">
        <v>25000</v>
      </c>
      <c r="P37" s="3">
        <v>46177</v>
      </c>
      <c r="Q37" s="2">
        <v>411001</v>
      </c>
    </row>
    <row r="38" spans="2:17" x14ac:dyDescent="0.3">
      <c r="B38" s="2">
        <v>2</v>
      </c>
      <c r="C38" s="2" t="s">
        <v>25</v>
      </c>
      <c r="D38" s="2" t="s">
        <v>26</v>
      </c>
      <c r="E38" s="2" t="s">
        <v>27</v>
      </c>
      <c r="F38" s="2" t="s">
        <v>28</v>
      </c>
      <c r="G38" s="2">
        <v>32</v>
      </c>
      <c r="H38" s="2" t="s">
        <v>20</v>
      </c>
      <c r="I38" s="3">
        <v>46175</v>
      </c>
      <c r="J38" s="2" t="s">
        <v>21</v>
      </c>
      <c r="K38" s="2" t="s">
        <v>22</v>
      </c>
      <c r="L38" s="2" t="s">
        <v>29</v>
      </c>
      <c r="M38" s="2" t="s">
        <v>30</v>
      </c>
      <c r="N38" s="2">
        <v>3</v>
      </c>
      <c r="O38" s="2">
        <v>4500</v>
      </c>
      <c r="P38" s="3">
        <v>46178</v>
      </c>
      <c r="Q38" s="2">
        <v>400001</v>
      </c>
    </row>
    <row r="39" spans="2:17" x14ac:dyDescent="0.3">
      <c r="B39" s="2">
        <v>3</v>
      </c>
      <c r="C39" s="2" t="s">
        <v>31</v>
      </c>
      <c r="D39" s="2" t="s">
        <v>32</v>
      </c>
      <c r="E39" s="2" t="s">
        <v>33</v>
      </c>
      <c r="F39" s="2" t="s">
        <v>19</v>
      </c>
      <c r="G39" s="2">
        <v>45</v>
      </c>
      <c r="H39" s="2" t="s">
        <v>20</v>
      </c>
      <c r="I39" s="3">
        <v>46176</v>
      </c>
      <c r="J39" s="2" t="s">
        <v>21</v>
      </c>
      <c r="K39" s="2" t="s">
        <v>34</v>
      </c>
      <c r="L39" s="2" t="s">
        <v>35</v>
      </c>
      <c r="M39" s="2" t="s">
        <v>36</v>
      </c>
      <c r="N39" s="2">
        <v>1</v>
      </c>
      <c r="O39" s="2">
        <v>3200</v>
      </c>
      <c r="P39" s="2"/>
      <c r="Q39" s="2">
        <v>380001</v>
      </c>
    </row>
    <row r="40" spans="2:17" ht="43.2" x14ac:dyDescent="0.3">
      <c r="B40" s="2">
        <v>4</v>
      </c>
      <c r="C40" s="2" t="s">
        <v>37</v>
      </c>
      <c r="D40" s="2" t="s">
        <v>38</v>
      </c>
      <c r="E40" s="2" t="s">
        <v>39</v>
      </c>
      <c r="F40" s="2" t="s">
        <v>28</v>
      </c>
      <c r="G40" s="2">
        <v>22</v>
      </c>
      <c r="H40" s="2" t="s">
        <v>40</v>
      </c>
      <c r="I40" s="3">
        <v>46177</v>
      </c>
      <c r="J40" s="2" t="s">
        <v>21</v>
      </c>
      <c r="K40" s="2" t="s">
        <v>22</v>
      </c>
      <c r="L40" s="2" t="s">
        <v>23</v>
      </c>
      <c r="M40" s="2" t="s">
        <v>41</v>
      </c>
      <c r="N40" s="2">
        <v>5</v>
      </c>
      <c r="O40" s="2">
        <v>2800</v>
      </c>
      <c r="P40" s="3">
        <v>46180</v>
      </c>
      <c r="Q40" s="2">
        <v>411014</v>
      </c>
    </row>
    <row r="41" spans="2:17" x14ac:dyDescent="0.3">
      <c r="B41" s="2">
        <v>5</v>
      </c>
      <c r="C41" s="2" t="s">
        <v>42</v>
      </c>
      <c r="D41" s="2" t="s">
        <v>43</v>
      </c>
      <c r="E41" s="2" t="s">
        <v>44</v>
      </c>
      <c r="F41" s="2" t="s">
        <v>19</v>
      </c>
      <c r="G41" s="2">
        <v>29</v>
      </c>
      <c r="H41" s="2" t="s">
        <v>20</v>
      </c>
      <c r="I41" s="3">
        <v>46178</v>
      </c>
      <c r="J41" s="2" t="s">
        <v>21</v>
      </c>
      <c r="K41" s="2" t="s">
        <v>45</v>
      </c>
      <c r="L41" s="2" t="s">
        <v>29</v>
      </c>
      <c r="M41" s="2" t="s">
        <v>24</v>
      </c>
      <c r="N41" s="2">
        <v>1</v>
      </c>
      <c r="O41" s="2">
        <v>18000</v>
      </c>
      <c r="P41" s="3">
        <v>46181</v>
      </c>
      <c r="Q41" s="2">
        <v>422001</v>
      </c>
    </row>
    <row r="42" spans="2:17" ht="28.8" x14ac:dyDescent="0.3">
      <c r="B42" s="2">
        <v>6</v>
      </c>
      <c r="C42" s="2" t="s">
        <v>46</v>
      </c>
      <c r="D42" s="2" t="s">
        <v>47</v>
      </c>
      <c r="E42" s="2" t="s">
        <v>48</v>
      </c>
      <c r="F42" s="2" t="s">
        <v>28</v>
      </c>
      <c r="G42" s="2">
        <v>38</v>
      </c>
      <c r="H42" s="2" t="s">
        <v>20</v>
      </c>
      <c r="I42" s="3">
        <v>46179</v>
      </c>
      <c r="J42" s="2" t="s">
        <v>21</v>
      </c>
      <c r="K42" s="2" t="s">
        <v>22</v>
      </c>
      <c r="L42" s="2" t="s">
        <v>35</v>
      </c>
      <c r="M42" s="2" t="s">
        <v>49</v>
      </c>
      <c r="N42" s="2">
        <v>10</v>
      </c>
      <c r="O42" s="2">
        <v>2200</v>
      </c>
      <c r="P42" s="3">
        <v>46181</v>
      </c>
      <c r="Q42" s="2">
        <v>226001</v>
      </c>
    </row>
    <row r="43" spans="2:17" ht="28.8" x14ac:dyDescent="0.3">
      <c r="B43" s="2">
        <v>7</v>
      </c>
      <c r="C43" s="2" t="s">
        <v>50</v>
      </c>
      <c r="D43" s="2" t="s">
        <v>51</v>
      </c>
      <c r="E43" s="2" t="s">
        <v>52</v>
      </c>
      <c r="F43" s="2" t="s">
        <v>19</v>
      </c>
      <c r="G43" s="2">
        <v>19</v>
      </c>
      <c r="H43" s="2" t="s">
        <v>40</v>
      </c>
      <c r="I43" s="3">
        <v>46180</v>
      </c>
      <c r="J43" s="2" t="s">
        <v>21</v>
      </c>
      <c r="K43" s="2" t="s">
        <v>53</v>
      </c>
      <c r="L43" s="2" t="s">
        <v>23</v>
      </c>
      <c r="M43" s="2" t="s">
        <v>30</v>
      </c>
      <c r="N43" s="2">
        <v>2</v>
      </c>
      <c r="O43" s="2">
        <v>1800</v>
      </c>
      <c r="P43" s="3">
        <v>46183</v>
      </c>
      <c r="Q43" s="2">
        <v>411033</v>
      </c>
    </row>
    <row r="44" spans="2:17" x14ac:dyDescent="0.3">
      <c r="B44" s="2">
        <v>8</v>
      </c>
      <c r="C44" s="2" t="s">
        <v>54</v>
      </c>
      <c r="D44" s="2" t="s">
        <v>55</v>
      </c>
      <c r="E44" s="2" t="s">
        <v>56</v>
      </c>
      <c r="F44" s="2" t="s">
        <v>28</v>
      </c>
      <c r="G44" s="2">
        <v>27</v>
      </c>
      <c r="H44" s="2" t="s">
        <v>20</v>
      </c>
      <c r="I44" s="3">
        <v>46181</v>
      </c>
      <c r="J44" s="2" t="s">
        <v>21</v>
      </c>
      <c r="K44" s="2" t="s">
        <v>22</v>
      </c>
      <c r="L44" s="2" t="s">
        <v>57</v>
      </c>
      <c r="M44" s="2" t="s">
        <v>30</v>
      </c>
      <c r="N44" s="2">
        <v>4</v>
      </c>
      <c r="O44" s="2">
        <v>6200</v>
      </c>
      <c r="P44" s="3">
        <v>46183</v>
      </c>
      <c r="Q44" s="2">
        <v>560001</v>
      </c>
    </row>
    <row r="45" spans="2:17" ht="28.8" x14ac:dyDescent="0.3">
      <c r="B45" s="2">
        <v>9</v>
      </c>
      <c r="C45" s="2" t="s">
        <v>58</v>
      </c>
      <c r="D45" s="2" t="s">
        <v>59</v>
      </c>
      <c r="E45" s="2" t="s">
        <v>60</v>
      </c>
      <c r="F45" s="2" t="s">
        <v>19</v>
      </c>
      <c r="G45" s="2">
        <v>52</v>
      </c>
      <c r="H45" s="2" t="s">
        <v>61</v>
      </c>
      <c r="I45" s="3">
        <v>46182</v>
      </c>
      <c r="J45" s="2" t="s">
        <v>21</v>
      </c>
      <c r="K45" s="2" t="s">
        <v>45</v>
      </c>
      <c r="L45" s="2" t="s">
        <v>35</v>
      </c>
      <c r="M45" s="2" t="s">
        <v>36</v>
      </c>
      <c r="N45" s="2">
        <v>2</v>
      </c>
      <c r="O45" s="2">
        <v>5400</v>
      </c>
      <c r="P45" s="3">
        <v>46185</v>
      </c>
      <c r="Q45" s="2">
        <v>110001</v>
      </c>
    </row>
    <row r="46" spans="2:17" ht="28.8" x14ac:dyDescent="0.3">
      <c r="B46" s="2">
        <v>10</v>
      </c>
      <c r="C46" s="2" t="s">
        <v>62</v>
      </c>
      <c r="D46" s="2" t="s">
        <v>63</v>
      </c>
      <c r="E46" s="2" t="s">
        <v>64</v>
      </c>
      <c r="F46" s="2" t="s">
        <v>28</v>
      </c>
      <c r="G46" s="2">
        <v>35</v>
      </c>
      <c r="H46" s="2" t="s">
        <v>20</v>
      </c>
      <c r="I46" s="3">
        <v>46183</v>
      </c>
      <c r="J46" s="2" t="s">
        <v>21</v>
      </c>
      <c r="K46" s="2" t="s">
        <v>22</v>
      </c>
      <c r="L46" s="2" t="s">
        <v>23</v>
      </c>
      <c r="M46" s="2" t="s">
        <v>24</v>
      </c>
      <c r="N46" s="2">
        <v>1</v>
      </c>
      <c r="O46" s="2">
        <v>35000</v>
      </c>
      <c r="P46" s="3">
        <v>46186</v>
      </c>
      <c r="Q46" s="2">
        <v>411045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CHANNEL</vt:lpstr>
      <vt:lpstr>DASHBOARD</vt:lpstr>
      <vt:lpstr>Sheet12</vt:lpstr>
      <vt:lpstr>Sheet11</vt:lpstr>
      <vt:lpstr>AGE AND GENDER</vt:lpstr>
      <vt:lpstr>TOP 5 STATE</vt:lpstr>
      <vt:lpstr>GENDER</vt:lpstr>
      <vt:lpstr>ORDER STATUS</vt:lpstr>
      <vt:lpstr>Sheet9</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DEVKAR</dc:creator>
  <cp:lastModifiedBy>MUKESH DEVKAR</cp:lastModifiedBy>
  <dcterms:created xsi:type="dcterms:W3CDTF">2026-06-11T06:38:29Z</dcterms:created>
  <dcterms:modified xsi:type="dcterms:W3CDTF">2026-08-04T17:07:28Z</dcterms:modified>
</cp:coreProperties>
</file>